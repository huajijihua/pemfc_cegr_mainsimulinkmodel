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agentwork_pemfc_cEGR_main\04_Simulink物理网络模型\02_结果\RouteA_Cathode_cEGR_Focused\outputs\20260818_vsh_cegr_audit\"/>
    </mc:Choice>
  </mc:AlternateContent>
  <xr:revisionPtr revIDLastSave="0" documentId="8_{5DC1E180-D73E-410B-9773-AB52256BE46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技术结论" sheetId="1" r:id="rId1"/>
    <sheet name="审计明细" sheetId="2" r:id="rId2"/>
    <sheet name="冷凝机制" sheetId="3" r:id="rId3"/>
    <sheet name="方法与边界" sheetId="4" r:id="rId4"/>
    <sheet name="控制与回流能力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5" l="1"/>
  <c r="B17" i="5"/>
  <c r="B16" i="5"/>
  <c r="B15" i="5"/>
  <c r="B14" i="5"/>
  <c r="B13" i="5"/>
  <c r="B12" i="5"/>
  <c r="B11" i="5"/>
  <c r="AU56" i="2"/>
  <c r="AT56" i="2"/>
  <c r="AS56" i="2"/>
  <c r="AR56" i="2"/>
  <c r="AU55" i="2"/>
  <c r="AT55" i="2"/>
  <c r="AS55" i="2"/>
  <c r="AR55" i="2"/>
  <c r="AU54" i="2"/>
  <c r="AT54" i="2"/>
  <c r="AS54" i="2"/>
  <c r="AR54" i="2"/>
  <c r="AU53" i="2"/>
  <c r="AT53" i="2"/>
  <c r="AS53" i="2"/>
  <c r="AR53" i="2"/>
  <c r="AU52" i="2"/>
  <c r="AT52" i="2"/>
  <c r="AS52" i="2"/>
  <c r="AR52" i="2"/>
  <c r="AU51" i="2"/>
  <c r="AT51" i="2"/>
  <c r="AS51" i="2"/>
  <c r="AR51" i="2"/>
  <c r="AU50" i="2"/>
  <c r="AT50" i="2"/>
  <c r="AS50" i="2"/>
  <c r="AR50" i="2"/>
  <c r="AU49" i="2"/>
  <c r="AT49" i="2"/>
  <c r="AS49" i="2"/>
  <c r="AR49" i="2"/>
  <c r="AU48" i="2"/>
  <c r="AT48" i="2"/>
  <c r="AS48" i="2"/>
  <c r="AR48" i="2"/>
  <c r="AU47" i="2"/>
  <c r="AT47" i="2"/>
  <c r="AS47" i="2"/>
  <c r="AR47" i="2"/>
  <c r="AU46" i="2"/>
  <c r="AT46" i="2"/>
  <c r="AS46" i="2"/>
  <c r="AR46" i="2"/>
  <c r="AU45" i="2"/>
  <c r="AT45" i="2"/>
  <c r="AS45" i="2"/>
  <c r="AR45" i="2"/>
  <c r="AU44" i="2"/>
  <c r="AT44" i="2"/>
  <c r="AS44" i="2"/>
  <c r="AR44" i="2"/>
  <c r="AU43" i="2"/>
  <c r="AT43" i="2"/>
  <c r="AS43" i="2"/>
  <c r="AR43" i="2"/>
  <c r="AU42" i="2"/>
  <c r="AT42" i="2"/>
  <c r="AS42" i="2"/>
  <c r="AR42" i="2"/>
  <c r="AU41" i="2"/>
  <c r="AT41" i="2"/>
  <c r="AS41" i="2"/>
  <c r="AR41" i="2"/>
  <c r="AU40" i="2"/>
  <c r="AT40" i="2"/>
  <c r="AS40" i="2"/>
  <c r="AR40" i="2"/>
  <c r="AU39" i="2"/>
  <c r="AT39" i="2"/>
  <c r="AS39" i="2"/>
  <c r="AR39" i="2"/>
  <c r="AU38" i="2"/>
  <c r="AT38" i="2"/>
  <c r="AS38" i="2"/>
  <c r="AR38" i="2"/>
  <c r="AU37" i="2"/>
  <c r="AT37" i="2"/>
  <c r="AS37" i="2"/>
  <c r="AR37" i="2"/>
  <c r="AU36" i="2"/>
  <c r="AT36" i="2"/>
  <c r="AS36" i="2"/>
  <c r="AR36" i="2"/>
  <c r="AU35" i="2"/>
  <c r="AT35" i="2"/>
  <c r="AS35" i="2"/>
  <c r="AR35" i="2"/>
  <c r="AU34" i="2"/>
  <c r="AT34" i="2"/>
  <c r="AS34" i="2"/>
  <c r="AR34" i="2"/>
  <c r="AU33" i="2"/>
  <c r="AT33" i="2"/>
  <c r="AS33" i="2"/>
  <c r="AR33" i="2"/>
  <c r="AU32" i="2"/>
  <c r="AT32" i="2"/>
  <c r="AS32" i="2"/>
  <c r="AR32" i="2"/>
  <c r="AU31" i="2"/>
  <c r="AT31" i="2"/>
  <c r="AS31" i="2"/>
  <c r="AR31" i="2"/>
  <c r="AU30" i="2"/>
  <c r="AT30" i="2"/>
  <c r="AS30" i="2"/>
  <c r="AR30" i="2"/>
  <c r="AU29" i="2"/>
  <c r="AT29" i="2"/>
  <c r="AS29" i="2"/>
  <c r="AR29" i="2"/>
  <c r="AU28" i="2"/>
  <c r="AT28" i="2"/>
  <c r="AS28" i="2"/>
  <c r="AR28" i="2"/>
  <c r="AU27" i="2"/>
  <c r="AT27" i="2"/>
  <c r="AS27" i="2"/>
  <c r="AR27" i="2"/>
  <c r="AU26" i="2"/>
  <c r="AT26" i="2"/>
  <c r="AS26" i="2"/>
  <c r="AR26" i="2"/>
  <c r="AU25" i="2"/>
  <c r="AT25" i="2"/>
  <c r="AS25" i="2"/>
  <c r="AR25" i="2"/>
  <c r="AU24" i="2"/>
  <c r="AT24" i="2"/>
  <c r="AS24" i="2"/>
  <c r="AR24" i="2"/>
  <c r="AU23" i="2"/>
  <c r="AT23" i="2"/>
  <c r="AS23" i="2"/>
  <c r="AR23" i="2"/>
  <c r="AU22" i="2"/>
  <c r="AT22" i="2"/>
  <c r="AS22" i="2"/>
  <c r="AR22" i="2"/>
  <c r="AU21" i="2"/>
  <c r="AT21" i="2"/>
  <c r="AS21" i="2"/>
  <c r="AR21" i="2"/>
  <c r="AU20" i="2"/>
  <c r="AT20" i="2"/>
  <c r="AS20" i="2"/>
  <c r="AR20" i="2"/>
  <c r="AU19" i="2"/>
  <c r="AT19" i="2"/>
  <c r="AS19" i="2"/>
  <c r="AR19" i="2"/>
  <c r="AU18" i="2"/>
  <c r="AT18" i="2"/>
  <c r="AS18" i="2"/>
  <c r="AR18" i="2"/>
  <c r="AU17" i="2"/>
  <c r="AT17" i="2"/>
  <c r="AS17" i="2"/>
  <c r="AR17" i="2"/>
  <c r="AU16" i="2"/>
  <c r="AT16" i="2"/>
  <c r="AS16" i="2"/>
  <c r="AR16" i="2"/>
  <c r="AU15" i="2"/>
  <c r="AT15" i="2"/>
  <c r="AS15" i="2"/>
  <c r="AR15" i="2"/>
  <c r="AU14" i="2"/>
  <c r="AT14" i="2"/>
  <c r="AS14" i="2"/>
  <c r="AR14" i="2"/>
  <c r="AU13" i="2"/>
  <c r="AT13" i="2"/>
  <c r="AS13" i="2"/>
  <c r="AR13" i="2"/>
  <c r="AU12" i="2"/>
  <c r="AT12" i="2"/>
  <c r="AS12" i="2"/>
  <c r="AR12" i="2"/>
  <c r="AU11" i="2"/>
  <c r="AT11" i="2"/>
  <c r="AS11" i="2"/>
  <c r="AR11" i="2"/>
  <c r="AU10" i="2"/>
  <c r="AT10" i="2"/>
  <c r="AS10" i="2"/>
  <c r="AR10" i="2"/>
  <c r="AU9" i="2"/>
  <c r="AT9" i="2"/>
  <c r="AS9" i="2"/>
  <c r="AR9" i="2"/>
  <c r="AU8" i="2"/>
  <c r="AT8" i="2"/>
  <c r="AS8" i="2"/>
  <c r="AR8" i="2"/>
  <c r="AU7" i="2"/>
  <c r="AT7" i="2"/>
  <c r="AS7" i="2"/>
  <c r="AR7" i="2"/>
  <c r="AU6" i="2"/>
  <c r="AT6" i="2"/>
  <c r="AS6" i="2"/>
  <c r="AR6" i="2"/>
  <c r="AU5" i="2"/>
  <c r="AT5" i="2"/>
  <c r="AS5" i="2"/>
  <c r="AR5" i="2"/>
</calcChain>
</file>

<file path=xl/sharedStrings.xml><?xml version="1.0" encoding="utf-8"?>
<sst xmlns="http://schemas.openxmlformats.org/spreadsheetml/2006/main" count="753" uniqueCount="305">
  <si>
    <t>240 kW V-SH 阀门被动 cEGR 技术审计结果 v02</t>
  </si>
  <si>
    <t>基于两份正式 600 s 并行仿真结果；OER_ref=无 cEGR 基准 OER，仅用于确定参考新鲜空气流量；实际 OER 由入堆尾窗观测。压力列已统一为 kPa（绝压列明确标注）。</t>
  </si>
  <si>
    <t>工况</t>
  </si>
  <si>
    <t>最大实际 R</t>
  </si>
  <si>
    <t>最大候选 R</t>
  </si>
  <si>
    <t>执行完整性与筛选结果</t>
  </si>
  <si>
    <t>总流量不变-j0.1</t>
  </si>
  <si>
    <t>正式 case 总数</t>
  </si>
  <si>
    <t>筛选状态</t>
  </si>
  <si>
    <t>数量</t>
  </si>
  <si>
    <t>总流量不变-j0.2</t>
  </si>
  <si>
    <t>已完成 case</t>
  </si>
  <si>
    <t>candidate_feasible_gas_phase_screen</t>
  </si>
  <si>
    <t>总流量不变-j0.4</t>
  </si>
  <si>
    <t>候选可行（气相筛选）</t>
  </si>
  <si>
    <t>not_acceptable_mixer_condensation</t>
  </si>
  <si>
    <t>总流量不变-j1</t>
  </si>
  <si>
    <t>混合器冷凝/过饱和</t>
  </si>
  <si>
    <t>not_acceptable_oer</t>
  </si>
  <si>
    <t>新鲜空气不变-j0.1</t>
  </si>
  <si>
    <t>总流量不变</t>
  </si>
  <si>
    <t>requires_cegr_tracking_review</t>
  </si>
  <si>
    <t>新鲜空气不变-j0.2</t>
  </si>
  <si>
    <t>新鲜空气不变</t>
  </si>
  <si>
    <t>risk_review_required</t>
  </si>
  <si>
    <t>新鲜空气不变-j0.4</t>
  </si>
  <si>
    <t>新鲜空气不变-j1</t>
  </si>
  <si>
    <t>控制与能力包络（最大候选 R 仍为离散气相筛选结果；回流能力必须同时看实际 R、阀压差、阀面积、实际 OER 与冷凝状态）</t>
  </si>
  <si>
    <t>策略</t>
  </si>
  <si>
    <t>j (A/cm²)</t>
  </si>
  <si>
    <t>完成</t>
  </si>
  <si>
    <t>候选数</t>
  </si>
  <si>
    <t>最大候选目标 R</t>
  </si>
  <si>
    <t>最小实际 OER</t>
  </si>
  <si>
    <t>最大阀面积分数</t>
  </si>
  <si>
    <t>最大混合器 S</t>
  </si>
  <si>
    <t>最小露点裕度 (°C)</t>
  </si>
  <si>
    <t>最大冷凝积分 (mg)</t>
  </si>
  <si>
    <t>主要约束</t>
  </si>
  <si>
    <t>实际 OER&lt;1</t>
  </si>
  <si>
    <t>混合器/阴极气相冷凝</t>
  </si>
  <si>
    <t>阀面积饱和</t>
  </si>
  <si>
    <t>混合器/阴极气相冷凝；阀面积饱和</t>
  </si>
  <si>
    <t>工程解释要点</t>
  </si>
  <si>
    <t>OER_ref=5 只用于确定无 cEGR 基准总流量；R 增大时 m_total=m_fresh,ref，m_fresh 与 m_return 此消彼长，低负载高回流首先受实际 OER 约束。</t>
  </si>
  <si>
    <t>OER_ref 只用于确定无 cEGR 基准新鲜空气流量；m_fresh 保持该值，R 增大时 m_total 与空压机入口流量增加，实际 OER 通常上升，但阀面积可能饱和。</t>
  </si>
  <si>
    <t>冷凝语义</t>
  </si>
  <si>
    <t>当 S=pH2O/p_sat(T)&gt;1 或露点裕度&lt;0 时，L2 气相诊断给出相变需求；它不等于液水库存、液滴携带或压缩机允许进液量。</t>
  </si>
  <si>
    <t>压力链</t>
  </si>
  <si>
    <t>阀压差统一按 Δp_valve=p_up−p_down 以 kPa 报告；正压差是回流方向条件，不是单独的阀件额定能力证明。</t>
  </si>
  <si>
    <t>审计明细：52 个正式 case</t>
  </si>
  <si>
    <t>原始仿真审计字段与可追溯派生量。OER_ref 明确为无 cEGR 基准；压力列为报告单位换算（MPa×1000=kPa），源 MAT 未修改。</t>
  </si>
  <si>
    <t>Case ID</t>
  </si>
  <si>
    <t>已完成</t>
  </si>
  <si>
    <t>局部数值通过</t>
  </si>
  <si>
    <t>无 cEGR 基准 OER_ref</t>
  </si>
  <si>
    <t>目标 R_EGR</t>
  </si>
  <si>
    <t>实际 R_EGR</t>
  </si>
  <si>
    <t>R 偏差</t>
  </si>
  <si>
    <t>R 容差</t>
  </si>
  <si>
    <t>目标 x_EGR</t>
  </si>
  <si>
    <t>实际 x_EGR</t>
  </si>
  <si>
    <t>r_split</t>
  </si>
  <si>
    <t>m_cEGR (kg/s)</t>
  </si>
  <si>
    <t>实际 OER 均值</t>
  </si>
  <si>
    <t>实际 OER 最小</t>
  </si>
  <si>
    <t>OER 状态</t>
  </si>
  <si>
    <t>单电池电压 (V)</t>
  </si>
  <si>
    <t>阀面积分数</t>
  </si>
  <si>
    <t>阀压差 (kPa, 上游−下游)</t>
  </si>
  <si>
    <t>压缩机入口 p (kPa abs)</t>
  </si>
  <si>
    <t>压缩机出口 p (kPa abs)</t>
  </si>
  <si>
    <t>中冷后 p (kPa abs)</t>
  </si>
  <si>
    <t>阴极通道 p (kPa abs)</t>
  </si>
  <si>
    <t>背压目标 (kPa abs)</t>
  </si>
  <si>
    <t>阴极出口 p (kPa abs)</t>
  </si>
  <si>
    <t>入堆 RH</t>
  </si>
  <si>
    <t>压缩机入口 pO₂ (Pa)</t>
  </si>
  <si>
    <t>混合器 T (°C)</t>
  </si>
  <si>
    <t>混合器露点裕度 (°C)</t>
  </si>
  <si>
    <t>混合器 S</t>
  </si>
  <si>
    <t>混合器冷凝率 (kg/s)</t>
  </si>
  <si>
    <t>混合器冷凝积分 (kg)</t>
  </si>
  <si>
    <t>混合器相态</t>
  </si>
  <si>
    <t>阴极气体 S</t>
  </si>
  <si>
    <t>阴极冷凝率 (kg/s)</t>
  </si>
  <si>
    <t>阴极相态</t>
  </si>
  <si>
    <t>回流管 S</t>
  </si>
  <si>
    <t>回流管冷凝率 (kg/s)</t>
  </si>
  <si>
    <t>回流管相态</t>
  </si>
  <si>
    <t>控制跟踪状态</t>
  </si>
  <si>
    <t>综合筛选状态</t>
  </si>
  <si>
    <t>错误 ID</t>
  </si>
  <si>
    <t>水蒸气相对饱和超额 (%)</t>
  </si>
  <si>
    <t>混合器冷凝率 (mg/s)</t>
  </si>
  <si>
    <t>混合器冷凝积分 (mg)</t>
  </si>
  <si>
    <t>出口压力偏差 (kPa)</t>
  </si>
  <si>
    <t>external240_total_flow_fixed_j0p1_R0p000</t>
  </si>
  <si>
    <t>feasible_above_1p2</t>
  </si>
  <si>
    <t>gas_phase_noncondensing</t>
  </si>
  <si>
    <t>not_applicable_zero_target</t>
  </si>
  <si>
    <t>external240_total_flow_fixed_j0p1_R0p400</t>
  </si>
  <si>
    <t>within_control_tolerance</t>
  </si>
  <si>
    <t>external240_total_flow_fixed_j0p1_R1p000</t>
  </si>
  <si>
    <t>external240_total_flow_fixed_j0p1_R2p000</t>
  </si>
  <si>
    <t>external240_total_flow_fixed_j0p1_R3p000</t>
  </si>
  <si>
    <t>external240_total_flow_fixed_j0p1_R4p000</t>
  </si>
  <si>
    <t>not_acceptable_below_1</t>
  </si>
  <si>
    <t>external240_total_flow_fixed_j0p2_R0p000</t>
  </si>
  <si>
    <t>external240_total_flow_fixed_j0p2_R0p260</t>
  </si>
  <si>
    <t>external240_total_flow_fixed_j0p2_R0p650</t>
  </si>
  <si>
    <t>near_saturation_risk</t>
  </si>
  <si>
    <t>external240_total_flow_fixed_j0p2_R1p300</t>
  </si>
  <si>
    <t>condensing_or_supersaturated</t>
  </si>
  <si>
    <t>external240_total_flow_fixed_j0p2_R1p950</t>
  </si>
  <si>
    <t>external240_total_flow_fixed_j0p2_R2p600</t>
  </si>
  <si>
    <t>risk_1_to_1p2</t>
  </si>
  <si>
    <t>external240_total_flow_fixed_j0p4_R0p000</t>
  </si>
  <si>
    <t>external240_total_flow_fixed_j0p4_R0p140</t>
  </si>
  <si>
    <t>external240_total_flow_fixed_j0p4_R0p350</t>
  </si>
  <si>
    <t>external240_total_flow_fixed_j0p4_R0p700</t>
  </si>
  <si>
    <t>external240_total_flow_fixed_j0p4_R1p050</t>
  </si>
  <si>
    <t>external240_total_flow_fixed_j0p4_R1p400</t>
  </si>
  <si>
    <t>external240_total_flow_fixed_j1p0_R0p000</t>
  </si>
  <si>
    <t>external240_total_flow_fixed_j1p0_R0p080</t>
  </si>
  <si>
    <t>external240_total_flow_fixed_j1p0_R0p200</t>
  </si>
  <si>
    <t>external240_total_flow_fixed_j1p0_R0p400</t>
  </si>
  <si>
    <t>external240_total_flow_fixed_j1p0_R0p600</t>
  </si>
  <si>
    <t>external240_total_flow_fixed_j1p0_R0p800</t>
  </si>
  <si>
    <t>external240_fresh_air_fixed_j0p1_R0p000</t>
  </si>
  <si>
    <t>external240_fresh_air_fixed_j0p1_R0p100</t>
  </si>
  <si>
    <t>external240_fresh_air_fixed_j0p1_R0p500</t>
  </si>
  <si>
    <t>external240_fresh_air_fixed_j0p1_R1p000</t>
  </si>
  <si>
    <t>external240_fresh_air_fixed_j0p1_R2p000</t>
  </si>
  <si>
    <t>deviation_valve_area_saturated</t>
  </si>
  <si>
    <t>external240_fresh_air_fixed_j0p1_R4p000</t>
  </si>
  <si>
    <t>external240_fresh_air_fixed_j0p1_R8p000</t>
  </si>
  <si>
    <t>external240_fresh_air_fixed_j0p2_R0p000</t>
  </si>
  <si>
    <t>external240_fresh_air_fixed_j0p2_R0p100</t>
  </si>
  <si>
    <t>external240_fresh_air_fixed_j0p2_R0p500</t>
  </si>
  <si>
    <t>external240_fresh_air_fixed_j0p2_R1p000</t>
  </si>
  <si>
    <t>external240_fresh_air_fixed_j0p2_R2p000</t>
  </si>
  <si>
    <t>external240_fresh_air_fixed_j0p2_R4p000</t>
  </si>
  <si>
    <t>external240_fresh_air_fixed_j0p2_R8p000</t>
  </si>
  <si>
    <t>external240_fresh_air_fixed_j0p4_R0p000</t>
  </si>
  <si>
    <t>external240_fresh_air_fixed_j0p4_R0p100</t>
  </si>
  <si>
    <t>external240_fresh_air_fixed_j0p4_R0p500</t>
  </si>
  <si>
    <t>external240_fresh_air_fixed_j0p4_R1p000</t>
  </si>
  <si>
    <t>external240_fresh_air_fixed_j0p4_R2p000</t>
  </si>
  <si>
    <t>external240_fresh_air_fixed_j0p4_R4p000</t>
  </si>
  <si>
    <t>external240_fresh_air_fixed_j0p4_R8p000</t>
  </si>
  <si>
    <t>external240_fresh_air_fixed_j1p0_R0p000</t>
  </si>
  <si>
    <t>external240_fresh_air_fixed_j1p0_R0p100</t>
  </si>
  <si>
    <t>external240_fresh_air_fixed_j1p0_R0p500</t>
  </si>
  <si>
    <t>external240_fresh_air_fixed_j1p0_R1p000</t>
  </si>
  <si>
    <t>external240_fresh_air_fixed_j1p0_R2p000</t>
  </si>
  <si>
    <t>external240_fresh_air_fixed_j1p0_R4p000</t>
  </si>
  <si>
    <t>external240_fresh_air_fixed_j1p0_R8p000</t>
  </si>
  <si>
    <t>压缩机入口混合器：气相冷凝机制与水蒸气过量</t>
  </si>
  <si>
    <t>判据：S=pH₂O/p_sat(T)。S&gt;1 表示水蒸气分压超过该温度下饱和蒸汽压；冷凝率/积分是现有 L2 气相模型给出的相变需求量。</t>
  </si>
  <si>
    <t>最大相对超额 (%)</t>
  </si>
  <si>
    <t>如何读取“水蒸气相比饱和水蒸气多了多少”</t>
  </si>
  <si>
    <t>相对超额</t>
  </si>
  <si>
    <t>MAX(0, S−1)×100%。例如 S=1.165 表示水蒸气分压比该温度的饱和蒸汽压高 16.5%。</t>
  </si>
  <si>
    <t>绝对相变需求</t>
  </si>
  <si>
    <t>混合器冷凝率 m_cond（mg/s）与 600 s 内的冷凝积分（mg）。这是模型为回到饱和气相所计算的相变需求，不是液水库存。</t>
  </si>
  <si>
    <t>发生位置</t>
  </si>
  <si>
    <t>本模型重点监测压缩机入口混合器：较湿、较热的回流气与环境新鲜空气混合后，若混合温度下降而水蒸气分压未同步下降，则 S 上升并可能超过 1。</t>
  </si>
  <si>
    <t>工程边界</t>
  </si>
  <si>
    <t>不能由本表推断液滴尺寸、分离效率、压缩机耐液能力或真实进液量；这些需要液相库存与液滴输运模型。</t>
  </si>
  <si>
    <t>出现混合器过饱和/冷凝的 case（按 L2 气相诊断）</t>
  </si>
  <si>
    <t>目标 R</t>
  </si>
  <si>
    <t>实际 R</t>
  </si>
  <si>
    <t>相对超额 (%)</t>
  </si>
  <si>
    <t>露点裕度 (°C)</t>
  </si>
  <si>
    <t>冷凝率 (mg/s)</t>
  </si>
  <si>
    <t>600 s 冷凝积分 (mg)</t>
  </si>
  <si>
    <t>混合器状态</t>
  </si>
  <si>
    <t>阴极状态</t>
  </si>
  <si>
    <t>综合状态</t>
  </si>
  <si>
    <t>方法、定义与适用边界</t>
  </si>
  <si>
    <t>用于复核 Excel 各字段的物理含义与结果使用范围。</t>
  </si>
  <si>
    <t>工况与控制定义</t>
  </si>
  <si>
    <t>正式模型</t>
  </si>
  <si>
    <t>PEMFuelCellSystem_Cathode_cEGR_SelfHumidifying_v01.slx；阀门被动循环 + 自增湿电堆。</t>
  </si>
  <si>
    <t>正式 runner</t>
  </si>
  <si>
    <t>run_routeA_focused_study.m；两批均为 600 s cold-start、4-worker parsim。</t>
  </si>
  <si>
    <t>负载点与 OER_ref</t>
  </si>
  <si>
    <t>j=[0.1, 0.2, 0.4, 1.0] A/cm²；OER_ref=[5.0, 3.6, 2.4, 1.8]。OER_ref 是无 cEGR 基准 OER，只用于计算对应的参考新鲜空气流量，不等于 cEGR 工况实际 OER。</t>
  </si>
  <si>
    <t>总流量不变（mode 2）</t>
  </si>
  <si>
    <t>m_total=m_fresh,ref(OER_ref)。随 R_EGR 增大，m_fresh 与 m_return 此消彼长；总入口流量保持参考值，实际 OER 单独由入堆尾窗观测。</t>
  </si>
  <si>
    <t>新鲜空气不变（mode 4）</t>
  </si>
  <si>
    <t>m_fresh=m_fresh,ref(OER_ref)。随 R_EGR 增大，m_total=m_fresh+m_return，空压机入口总流量增大；实际 OER 通常上升。</t>
  </si>
  <si>
    <t>回流定义</t>
  </si>
  <si>
    <t>R_EGR=m_return/m_fresh；阀控制变量 x_EGR=m_return/m_total=R_EGR/(1+R_EGR)；r_split 为独立出口分支量。</t>
  </si>
  <si>
    <t>实际 OER 判据</t>
  </si>
  <si>
    <t>尾窗最小实际 OER：&lt;1 不可取；1–1.2 风险；&gt;1.2 可行。表中“无 cEGR 基准 OER_ref”仅是流量锚点。</t>
  </si>
  <si>
    <t>压力与回流能力</t>
  </si>
  <si>
    <t>阀压差 Δp_valve=p_up−p_down，以 kPa 报告；p_up/p_down 来自阀前后 PT 传感器。Δp&gt;0 是回流方向条件，实际 m_return 还受有效阀面积、温度、组分和管路阻力影响。</t>
  </si>
  <si>
    <t>失败 case 修复</t>
  </si>
  <si>
    <t>原两个 case 的新增 Abs 块在启动期连续过零；参照既有 Abs 设置 ZeroCross=off 后只补算两个 case，并原位合并正式 MAT。</t>
  </si>
  <si>
    <t>结果文件</t>
  </si>
  <si>
    <t>04_Simulink物理网络模型\02_结果\RouteA_Cathode_cEGR_Focused\RouteA_Focused_External240kW_VSH_PassiveCEGR_total_flow_fixed_4J_600s_v02.mat</t>
  </si>
  <si>
    <t>04_Simulink物理网络模型\02_结果\RouteA_Cathode_cEGR_Focused\RouteA_Focused_External240kW_VSH_PassiveCEGR_fresh_air_fixed_4J_600s_v02.mat</t>
  </si>
  <si>
    <t>能力判据</t>
  </si>
  <si>
    <t>当前模型筛选需同时查看实际 R 跟踪、Δp_valve&gt;0、阀面积分数&lt;1、实际 OER、混合器/阴极 S 与露点裕度；不能用单一压差或单一 R 替代能力结论。</t>
  </si>
  <si>
    <t>背压解释</t>
  </si>
  <si>
    <t>若压缩机入口压力近似固定且其他损失不变，提高阴极背压通常提高阀上游压力和 Δp，有利于回流；但背压会改变压缩机工况、总流量、温度和冷凝状态，需以实际阀前后压力读数确认。</t>
  </si>
  <si>
    <t>结果解释限制</t>
  </si>
  <si>
    <t>可用于</t>
  </si>
  <si>
    <t>当前 V-SH 模型范围内的阀门可达性、实际 OER、压力链、气相冷凝筛选和电堆性能趋势比较。</t>
  </si>
  <si>
    <t>不可用于</t>
  </si>
  <si>
    <t>阀件额定选型、耐久性、真实分离效率、液水库存、液滴携带、压缩机耐液或整机效率结论。</t>
  </si>
  <si>
    <t>重要提醒</t>
  </si>
  <si>
    <t>同一负载的离散 case 可能因温度/混合状态呈现非单调风险；“最大候选 R”不应替代连续包络搜索。</t>
  </si>
  <si>
    <t>水蒸气超额</t>
  </si>
  <si>
    <t>优先查看“冷凝机制”中 S、相对超额、冷凝率和积分四列；它们的物理意义已在该页定义。</t>
  </si>
  <si>
    <t>V-SH cEGR 控制边界与回流能力定义</t>
  </si>
  <si>
    <t>本页是对审计表字段的解释，不增加新的物理模型；所有结论仍限于当前 V-SH 气相筛选范围。</t>
  </si>
  <si>
    <t>1. OER_ref 与两种进气控制边界</t>
  </si>
  <si>
    <t>OER_ref 的作用</t>
  </si>
  <si>
    <t>保持不变的量</t>
  </si>
  <si>
    <t>R 增大时变化</t>
  </si>
  <si>
    <t>实际 OER 的含义</t>
  </si>
  <si>
    <t>审计字段</t>
  </si>
  <si>
    <t>确定无 cEGR 基准新鲜空气流量，并以此锁定 m_total</t>
  </si>
  <si>
    <t>m_total=m_fresh,ref</t>
  </si>
  <si>
    <t>m_fresh 下降、m_return 上升；此消彼长</t>
  </si>
  <si>
    <t>不是 OER 恒定；实际 OER 可能下降</t>
  </si>
  <si>
    <t>无 cEGR 基准 OER_ref；实际 OER 均值/最小</t>
  </si>
  <si>
    <t>确定无 cEGR 基准新鲜空气流量</t>
  </si>
  <si>
    <t>m_fresh=m_fresh,ref</t>
  </si>
  <si>
    <t>m_total=m_fresh+m_return 上升；空压机流量上升</t>
  </si>
  <si>
    <t>不是 OER 恒定；实际 OER 通常上升</t>
  </si>
  <si>
    <t>2. R_EGR 与阀控制变量的映射</t>
  </si>
  <si>
    <t>R_EGR=m_return/m_fresh</t>
  </si>
  <si>
    <t>x_EGR=m_return/m_total</t>
  </si>
  <si>
    <t>解释</t>
  </si>
  <si>
    <t>无回流</t>
  </si>
  <si>
    <t>回流/新鲜空气=0.1；混合气回流占比 x=9.1%</t>
  </si>
  <si>
    <t>回流/新鲜空气=0.5；混合气回流占比 x=33.3%</t>
  </si>
  <si>
    <t>回流/新鲜空气=1；混合气回流占比 x=50.0%</t>
  </si>
  <si>
    <t>回流/新鲜空气=2；混合气回流占比 x=66.7%</t>
  </si>
  <si>
    <t>回流/新鲜空气=3；混合气回流占比 x=75.0%</t>
  </si>
  <si>
    <t>回流/新鲜空气=4；混合气回流占比 x=80.0%</t>
  </si>
  <si>
    <t>回流/新鲜空气=8；混合气回流占比 x=88.9%</t>
  </si>
  <si>
    <t>3. 回流能力不是单一 R，而是压差 × 有效面积 × 气路状态</t>
  </si>
  <si>
    <t>量</t>
  </si>
  <si>
    <t>定义/观测</t>
  </si>
  <si>
    <t>对回流的作用</t>
  </si>
  <si>
    <t>当前表格字段</t>
  </si>
  <si>
    <t>筛选判据</t>
  </si>
  <si>
    <t>边界</t>
  </si>
  <si>
    <t>阀压差 Δp_valve</t>
  </si>
  <si>
    <t>p_up−p_down；阀前后 PT 传感器读数</t>
  </si>
  <si>
    <t>Δp&gt;0 才有正向回流驱动力；提高上游压力通常有利</t>
  </si>
  <si>
    <t>&gt;0 为方向条件</t>
  </si>
  <si>
    <t>不是额定流量或耐久性证明</t>
  </si>
  <si>
    <t>有效阀面积 A</t>
  </si>
  <si>
    <t>PI 输出经限幅后的有效面积；Local Restriction (FC)</t>
  </si>
  <si>
    <t>A 越小阻力越大；达到上限后继续提高目标 R 也不能继续增流</t>
  </si>
  <si>
    <t>&lt;1 表示未饱和</t>
  </si>
  <si>
    <t>受压差、温度和组分共同影响</t>
  </si>
  <si>
    <t>气路状态</t>
  </si>
  <si>
    <t>T、组分、密度、管路阻力、压缩机入口压力</t>
  </si>
  <si>
    <t>决定给定 Δp 与 A 下的实际 m_return</t>
  </si>
  <si>
    <t>阀前/后 T、压缩机入口 p、混合器 S</t>
  </si>
  <si>
    <t>需联合检查</t>
  </si>
  <si>
    <t>可改变冷凝和压缩机工况</t>
  </si>
  <si>
    <t>回流能力结果</t>
  </si>
  <si>
    <t>R_actual、Δp、A_fraction、实际 OER、S/露点裕度联合记录</t>
  </si>
  <si>
    <t>给出当前 case 的可达点和限制来源</t>
  </si>
  <si>
    <t>审计明细对应列</t>
  </si>
  <si>
    <t>tracking + Δp&gt;0 + A&lt;1 + 气相筛选</t>
  </si>
  <si>
    <t>不能外推为硬件连续包络</t>
  </si>
  <si>
    <t>4. 压力口径与本版表格变更</t>
  </si>
  <si>
    <t>项目</t>
  </si>
  <si>
    <t>v01</t>
  </si>
  <si>
    <t>v02</t>
  </si>
  <si>
    <t>单位/方向</t>
  </si>
  <si>
    <t>为什么改</t>
  </si>
  <si>
    <t>使用限制</t>
  </si>
  <si>
    <t>OER 列</t>
  </si>
  <si>
    <t>OER 命令</t>
  </si>
  <si>
    <t>无量纲</t>
  </si>
  <si>
    <t>消除两种进气边界下的歧义</t>
  </si>
  <si>
    <t>实际 OER 仍看尾窗观测</t>
  </si>
  <si>
    <t>阀压差</t>
  </si>
  <si>
    <t>MPa</t>
  </si>
  <si>
    <t>kPa</t>
  </si>
  <si>
    <t>Δp=p_up−p_down</t>
  </si>
  <si>
    <t>低压差区域更容易读出能力边界</t>
  </si>
  <si>
    <t>正压差仅是方向条件</t>
  </si>
  <si>
    <t>绝对压力</t>
  </si>
  <si>
    <t>kPa abs</t>
  </si>
  <si>
    <t>p_abs</t>
  </si>
  <si>
    <t>避免 0.101 MPa 等小数显示掩盖差异</t>
  </si>
  <si>
    <t>背压目标不等于阀上游压力</t>
  </si>
  <si>
    <t>建议的能力报告</t>
  </si>
  <si>
    <t>单看 R/阀面积</t>
  </si>
  <si>
    <t>R + Δp + A_fraction + 实际 OER + S</t>
  </si>
  <si>
    <t>联合指标</t>
  </si>
  <si>
    <t>把压差与阀面积的耦合显式化</t>
  </si>
  <si>
    <t>仍限于当前气相 L2 模型</t>
  </si>
  <si>
    <t>工程判断：若压缩机入口压力近似 101.325 kPa 且其他损失不变，提高阴极背压通常会提高阀上游压力和阀压差，有利于回流；但真实回流量仍由 Local Restriction 的面积、压差、温度、组分和管路阻力共同决定。必须以阀前后实际压力读数和阀面积分数确认。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</si>
</sst>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"/>
    <numFmt numFmtId="178" formatCode="0.0000"/>
    <numFmt numFmtId="179" formatCode="0.0%"/>
  </numFmts>
  <fonts count="9">
    <font>
      <sz val="11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17365D"/>
      <name val="Carlito"/>
    </font>
    <font>
      <i/>
      <sz val="11"/>
      <color rgb="FF7A4E00"/>
      <name val="Carlito"/>
    </font>
    <font>
      <sz val="11"/>
      <name val="Carlito"/>
    </font>
    <font>
      <sz val="9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0F766E"/>
      </patternFill>
    </fill>
    <fill>
      <patternFill patternType="solid">
        <fgColor rgb="FFF2F2F2"/>
      </patternFill>
    </fill>
    <fill>
      <patternFill patternType="solid">
        <fgColor rgb="FFE7F4F2"/>
      </patternFill>
    </fill>
    <fill>
      <patternFill patternType="solid">
        <fgColor rgb="FFFFF2CC"/>
      </patternFill>
    </fill>
    <fill>
      <patternFill patternType="solid">
        <fgColor rgb="FF0F766E"/>
      </patternFill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FFF8EA"/>
      </patternFill>
    </fill>
  </fills>
  <borders count="8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6C87B"/>
      </left>
      <right/>
      <top style="thin">
        <color rgb="FFE6C87B"/>
      </top>
      <bottom/>
      <diagonal/>
    </border>
    <border>
      <left/>
      <right/>
      <top style="thin">
        <color rgb="FFE6C87B"/>
      </top>
      <bottom/>
      <diagonal/>
    </border>
    <border>
      <left/>
      <right style="thin">
        <color rgb="FFE6C87B"/>
      </right>
      <top style="thin">
        <color rgb="FFE6C87B"/>
      </top>
      <bottom/>
      <diagonal/>
    </border>
    <border>
      <left style="thin">
        <color rgb="FFE6C87B"/>
      </left>
      <right/>
      <top/>
      <bottom style="thin">
        <color rgb="FFE6C87B"/>
      </bottom>
      <diagonal/>
    </border>
    <border>
      <left/>
      <right/>
      <top/>
      <bottom style="thin">
        <color rgb="FFE6C87B"/>
      </bottom>
      <diagonal/>
    </border>
    <border>
      <left/>
      <right style="thin">
        <color rgb="FFE6C87B"/>
      </right>
      <top/>
      <bottom style="thin">
        <color rgb="FFE6C87B"/>
      </bottom>
      <diagonal/>
    </border>
  </borders>
  <cellStyleXfs count="2">
    <xf numFmtId="0" fontId="0" fillId="0" borderId="0"/>
    <xf numFmtId="0" fontId="7" fillId="0" borderId="0"/>
  </cellStyleXfs>
  <cellXfs count="30">
    <xf numFmtId="0" fontId="0" fillId="0" borderId="0" xfId="0"/>
    <xf numFmtId="0" fontId="4" fillId="5" borderId="1" xfId="1" applyFont="1" applyFill="1" applyBorder="1"/>
    <xf numFmtId="3" fontId="5" fillId="6" borderId="1" xfId="1" applyNumberFormat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vertical="center"/>
    </xf>
    <xf numFmtId="3" fontId="0" fillId="0" borderId="1" xfId="1" applyNumberFormat="1" applyFont="1" applyBorder="1" applyAlignment="1">
      <alignment vertical="center"/>
    </xf>
    <xf numFmtId="176" fontId="0" fillId="0" borderId="1" xfId="1" applyNumberFormat="1" applyFont="1" applyBorder="1" applyAlignment="1">
      <alignment vertical="center"/>
    </xf>
    <xf numFmtId="177" fontId="0" fillId="0" borderId="1" xfId="1" applyNumberFormat="1" applyFont="1" applyBorder="1" applyAlignment="1">
      <alignment vertical="center"/>
    </xf>
    <xf numFmtId="0" fontId="0" fillId="0" borderId="1" xfId="1" applyFont="1" applyBorder="1" applyAlignment="1">
      <alignment vertical="center" wrapText="1"/>
    </xf>
    <xf numFmtId="0" fontId="0" fillId="0" borderId="1" xfId="1" applyFont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78" fontId="0" fillId="0" borderId="1" xfId="1" applyNumberFormat="1" applyFont="1" applyBorder="1" applyAlignment="1">
      <alignment vertical="center"/>
    </xf>
    <xf numFmtId="0" fontId="4" fillId="7" borderId="1" xfId="1" applyFont="1" applyFill="1" applyBorder="1"/>
    <xf numFmtId="0" fontId="0" fillId="0" borderId="0" xfId="1" applyFont="1" applyAlignment="1">
      <alignment vertical="center"/>
    </xf>
    <xf numFmtId="0" fontId="3" fillId="8" borderId="1" xfId="1" applyFont="1" applyFill="1" applyBorder="1" applyAlignment="1">
      <alignment horizontal="center" vertical="center" wrapText="1"/>
    </xf>
    <xf numFmtId="2" fontId="0" fillId="0" borderId="1" xfId="1" applyNumberFormat="1" applyFont="1" applyBorder="1" applyAlignment="1">
      <alignment vertical="center" wrapText="1"/>
    </xf>
    <xf numFmtId="179" fontId="0" fillId="0" borderId="1" xfId="1" applyNumberFormat="1" applyFont="1" applyBorder="1" applyAlignment="1">
      <alignment vertical="center" wrapText="1"/>
    </xf>
    <xf numFmtId="0" fontId="3" fillId="8" borderId="0" xfId="1" applyFont="1" applyFill="1" applyAlignment="1">
      <alignment vertical="center" wrapText="1"/>
    </xf>
    <xf numFmtId="0" fontId="6" fillId="11" borderId="2" xfId="1" applyFont="1" applyFill="1" applyBorder="1" applyAlignment="1">
      <alignment vertical="center" wrapText="1"/>
    </xf>
    <xf numFmtId="0" fontId="6" fillId="11" borderId="3" xfId="1" applyFont="1" applyFill="1" applyBorder="1" applyAlignment="1">
      <alignment vertical="center" wrapText="1"/>
    </xf>
    <xf numFmtId="0" fontId="6" fillId="11" borderId="4" xfId="1" applyFont="1" applyFill="1" applyBorder="1" applyAlignment="1">
      <alignment vertical="center" wrapText="1"/>
    </xf>
    <xf numFmtId="0" fontId="6" fillId="11" borderId="5" xfId="1" applyFont="1" applyFill="1" applyBorder="1" applyAlignment="1">
      <alignment vertical="center" wrapText="1"/>
    </xf>
    <xf numFmtId="0" fontId="6" fillId="11" borderId="6" xfId="1" applyFont="1" applyFill="1" applyBorder="1" applyAlignment="1">
      <alignment vertical="center" wrapText="1"/>
    </xf>
    <xf numFmtId="0" fontId="6" fillId="11" borderId="7" xfId="1" applyFont="1" applyFill="1" applyBorder="1" applyAlignment="1">
      <alignment vertical="center" wrapText="1"/>
    </xf>
    <xf numFmtId="0" fontId="3" fillId="9" borderId="0" xfId="1" applyFont="1" applyFill="1" applyAlignment="1">
      <alignment vertical="center"/>
    </xf>
    <xf numFmtId="0" fontId="2" fillId="10" borderId="0" xfId="1" applyFont="1" applyFill="1" applyAlignment="1">
      <alignment vertical="center" wrapText="1"/>
    </xf>
    <xf numFmtId="0" fontId="0" fillId="0" borderId="1" xfId="1" applyFont="1" applyBorder="1" applyAlignment="1">
      <alignment wrapText="1"/>
    </xf>
    <xf numFmtId="0" fontId="1" fillId="2" borderId="0" xfId="1" applyFont="1" applyFill="1" applyAlignment="1">
      <alignment horizontal="left" vertical="center"/>
    </xf>
    <xf numFmtId="0" fontId="0" fillId="0" borderId="0" xfId="0"/>
    <xf numFmtId="0" fontId="2" fillId="3" borderId="0" xfId="1" applyFont="1" applyFill="1" applyAlignment="1">
      <alignment vertical="center" wrapText="1"/>
    </xf>
    <xf numFmtId="0" fontId="3" fillId="4" borderId="0" xfId="1" applyFont="1" applyFill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3"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b09a1118b55a44bf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回流能力：实际可达与候选筛选 R_EGR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最大实际 R</c:v>
          </c:tx>
          <c:invertIfNegative val="1"/>
          <c:cat>
            <c:strRef>
              <c:f>技术结论!$N$4:$N$11</c:f>
              <c:strCache>
                <c:ptCount val="8"/>
                <c:pt idx="0">
                  <c:v>总流量不变-j0.1</c:v>
                </c:pt>
                <c:pt idx="1">
                  <c:v>总流量不变-j0.2</c:v>
                </c:pt>
                <c:pt idx="2">
                  <c:v>总流量不变-j0.4</c:v>
                </c:pt>
                <c:pt idx="3">
                  <c:v>总流量不变-j1</c:v>
                </c:pt>
                <c:pt idx="4">
                  <c:v>新鲜空气不变-j0.1</c:v>
                </c:pt>
                <c:pt idx="5">
                  <c:v>新鲜空气不变-j0.2</c:v>
                </c:pt>
                <c:pt idx="6">
                  <c:v>新鲜空气不变-j0.4</c:v>
                </c:pt>
                <c:pt idx="7">
                  <c:v>新鲜空气不变-j1</c:v>
                </c:pt>
              </c:strCache>
            </c:strRef>
          </c:cat>
          <c:val>
            <c:numRef>
              <c:f>技术结论!$O$4:$O$11</c:f>
              <c:numCache>
                <c:formatCode>General</c:formatCode>
                <c:ptCount val="8"/>
                <c:pt idx="0">
                  <c:v>3.9975396446122895</c:v>
                </c:pt>
                <c:pt idx="1">
                  <c:v>2.5997016764362564</c:v>
                </c:pt>
                <c:pt idx="2">
                  <c:v>1.3999543779954127</c:v>
                </c:pt>
                <c:pt idx="3">
                  <c:v>0.79982881251759397</c:v>
                </c:pt>
                <c:pt idx="4">
                  <c:v>1.4822809833206079</c:v>
                </c:pt>
                <c:pt idx="5">
                  <c:v>1.1342600010027133</c:v>
                </c:pt>
                <c:pt idx="6">
                  <c:v>0.91329022446162444</c:v>
                </c:pt>
                <c:pt idx="7">
                  <c:v>0.58370136379538529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8B-402A-BD5D-12910146D644}"/>
            </c:ext>
          </c:extLst>
        </c:ser>
        <c:ser>
          <c:idx val="1"/>
          <c:order val="1"/>
          <c:tx>
            <c:v>最大候选 R</c:v>
          </c:tx>
          <c:invertIfNegative val="1"/>
          <c:cat>
            <c:strRef>
              <c:f>技术结论!$N$4:$N$11</c:f>
              <c:strCache>
                <c:ptCount val="8"/>
                <c:pt idx="0">
                  <c:v>总流量不变-j0.1</c:v>
                </c:pt>
                <c:pt idx="1">
                  <c:v>总流量不变-j0.2</c:v>
                </c:pt>
                <c:pt idx="2">
                  <c:v>总流量不变-j0.4</c:v>
                </c:pt>
                <c:pt idx="3">
                  <c:v>总流量不变-j1</c:v>
                </c:pt>
                <c:pt idx="4">
                  <c:v>新鲜空气不变-j0.1</c:v>
                </c:pt>
                <c:pt idx="5">
                  <c:v>新鲜空气不变-j0.2</c:v>
                </c:pt>
                <c:pt idx="6">
                  <c:v>新鲜空气不变-j0.4</c:v>
                </c:pt>
                <c:pt idx="7">
                  <c:v>新鲜空气不变-j1</c:v>
                </c:pt>
              </c:strCache>
            </c:strRef>
          </c:cat>
          <c:val>
            <c:numRef>
              <c:f>技术结论!$P$4:$P$11</c:f>
              <c:numCache>
                <c:formatCode>General</c:formatCode>
                <c:ptCount val="8"/>
                <c:pt idx="0">
                  <c:v>3</c:v>
                </c:pt>
                <c:pt idx="1">
                  <c:v>1.9500000000000002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0.1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8B-402A-BD5D-12910146D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t>各策略/负载的最大混合器饱和度 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最大混合器 S</c:v>
          </c:tx>
          <c:invertIfNegative val="1"/>
          <c:cat>
            <c:strRef>
              <c:f>冷凝机制!$N$3:$N$10</c:f>
              <c:strCache>
                <c:ptCount val="8"/>
                <c:pt idx="0">
                  <c:v>总流量不变-j0.1</c:v>
                </c:pt>
                <c:pt idx="1">
                  <c:v>总流量不变-j0.2</c:v>
                </c:pt>
                <c:pt idx="2">
                  <c:v>总流量不变-j0.4</c:v>
                </c:pt>
                <c:pt idx="3">
                  <c:v>总流量不变-j1</c:v>
                </c:pt>
                <c:pt idx="4">
                  <c:v>新鲜空气不变-j0.1</c:v>
                </c:pt>
                <c:pt idx="5">
                  <c:v>新鲜空气不变-j0.2</c:v>
                </c:pt>
                <c:pt idx="6">
                  <c:v>新鲜空气不变-j0.4</c:v>
                </c:pt>
                <c:pt idx="7">
                  <c:v>新鲜空气不变-j1</c:v>
                </c:pt>
              </c:strCache>
            </c:strRef>
          </c:cat>
          <c:val>
            <c:numRef>
              <c:f>冷凝机制!$O$3:$O$10</c:f>
              <c:numCache>
                <c:formatCode>0.0000</c:formatCode>
                <c:ptCount val="8"/>
                <c:pt idx="0">
                  <c:v>0.75784254548457919</c:v>
                </c:pt>
                <c:pt idx="1">
                  <c:v>0.95345516687781773</c:v>
                </c:pt>
                <c:pt idx="2">
                  <c:v>1.1276021664588292</c:v>
                </c:pt>
                <c:pt idx="3">
                  <c:v>1.1941517746453305</c:v>
                </c:pt>
                <c:pt idx="4">
                  <c:v>0.62426078829122955</c:v>
                </c:pt>
                <c:pt idx="5">
                  <c:v>0.76622238737350268</c:v>
                </c:pt>
                <c:pt idx="6">
                  <c:v>1.0062643148576287</c:v>
                </c:pt>
                <c:pt idx="7">
                  <c:v>1.0502503083638788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C1-466F-9077-64A80C6BB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22</xdr:col>
      <xdr:colOff>0</xdr:colOff>
      <xdr:row>17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uteACEGRAudit" displayName="RouteACEGRAudit" ref="A4:AU56" totalsRowShown="0">
  <tableColumns count="47">
    <tableColumn id="1" xr3:uid="{00000000-0010-0000-0000-000001000000}" name="策略"/>
    <tableColumn id="2" xr3:uid="{00000000-0010-0000-0000-000002000000}" name="Case ID"/>
    <tableColumn id="3" xr3:uid="{00000000-0010-0000-0000-000003000000}" name="已完成"/>
    <tableColumn id="4" xr3:uid="{00000000-0010-0000-0000-000004000000}" name="局部数值通过"/>
    <tableColumn id="5" xr3:uid="{00000000-0010-0000-0000-000005000000}" name="j (A/cm²)"/>
    <tableColumn id="6" xr3:uid="{00000000-0010-0000-0000-000006000000}" name="OER 命令"/>
    <tableColumn id="7" xr3:uid="{00000000-0010-0000-0000-000007000000}" name="目标 R_EGR"/>
    <tableColumn id="8" xr3:uid="{00000000-0010-0000-0000-000008000000}" name="实际 R_EGR"/>
    <tableColumn id="9" xr3:uid="{00000000-0010-0000-0000-000009000000}" name="R 偏差"/>
    <tableColumn id="10" xr3:uid="{00000000-0010-0000-0000-00000A000000}" name="R 容差"/>
    <tableColumn id="11" xr3:uid="{00000000-0010-0000-0000-00000B000000}" name="目标 x_EGR"/>
    <tableColumn id="12" xr3:uid="{00000000-0010-0000-0000-00000C000000}" name="实际 x_EGR"/>
    <tableColumn id="13" xr3:uid="{00000000-0010-0000-0000-00000D000000}" name="r_split"/>
    <tableColumn id="14" xr3:uid="{00000000-0010-0000-0000-00000E000000}" name="m_cEGR (kg/s)"/>
    <tableColumn id="15" xr3:uid="{00000000-0010-0000-0000-00000F000000}" name="实际 OER 均值"/>
    <tableColumn id="16" xr3:uid="{00000000-0010-0000-0000-000010000000}" name="实际 OER 最小"/>
    <tableColumn id="17" xr3:uid="{00000000-0010-0000-0000-000011000000}" name="OER 状态"/>
    <tableColumn id="18" xr3:uid="{00000000-0010-0000-0000-000012000000}" name="单电池电压 (V)"/>
    <tableColumn id="19" xr3:uid="{00000000-0010-0000-0000-000013000000}" name="阀面积分数"/>
    <tableColumn id="20" xr3:uid="{00000000-0010-0000-0000-000014000000}" name="阀压差 (MPa)"/>
    <tableColumn id="21" xr3:uid="{00000000-0010-0000-0000-000015000000}" name="压缩机入口 p (MPa)"/>
    <tableColumn id="22" xr3:uid="{00000000-0010-0000-0000-000016000000}" name="压缩机出口 p (MPa)"/>
    <tableColumn id="23" xr3:uid="{00000000-0010-0000-0000-000017000000}" name="中冷后 p (MPa)"/>
    <tableColumn id="24" xr3:uid="{00000000-0010-0000-0000-000018000000}" name="阴极通道 p (MPa)"/>
    <tableColumn id="25" xr3:uid="{00000000-0010-0000-0000-000019000000}" name="背压目标 (MPa)"/>
    <tableColumn id="26" xr3:uid="{00000000-0010-0000-0000-00001A000000}" name="阴极出口 p (MPa)"/>
    <tableColumn id="27" xr3:uid="{00000000-0010-0000-0000-00001B000000}" name="入堆 RH"/>
    <tableColumn id="28" xr3:uid="{00000000-0010-0000-0000-00001C000000}" name="压缩机入口 pO₂ (Pa)"/>
    <tableColumn id="29" xr3:uid="{00000000-0010-0000-0000-00001D000000}" name="混合器 T (°C)"/>
    <tableColumn id="30" xr3:uid="{00000000-0010-0000-0000-00001E000000}" name="混合器露点裕度 (°C)"/>
    <tableColumn id="31" xr3:uid="{00000000-0010-0000-0000-00001F000000}" name="混合器 S"/>
    <tableColumn id="32" xr3:uid="{00000000-0010-0000-0000-000020000000}" name="混合器冷凝率 (kg/s)"/>
    <tableColumn id="33" xr3:uid="{00000000-0010-0000-0000-000021000000}" name="混合器冷凝积分 (kg)"/>
    <tableColumn id="34" xr3:uid="{00000000-0010-0000-0000-000022000000}" name="混合器相态"/>
    <tableColumn id="35" xr3:uid="{00000000-0010-0000-0000-000023000000}" name="阴极气体 S"/>
    <tableColumn id="36" xr3:uid="{00000000-0010-0000-0000-000024000000}" name="阴极冷凝率 (kg/s)"/>
    <tableColumn id="37" xr3:uid="{00000000-0010-0000-0000-000025000000}" name="阴极相态"/>
    <tableColumn id="38" xr3:uid="{00000000-0010-0000-0000-000026000000}" name="回流管 S"/>
    <tableColumn id="39" xr3:uid="{00000000-0010-0000-0000-000027000000}" name="回流管冷凝率 (kg/s)"/>
    <tableColumn id="40" xr3:uid="{00000000-0010-0000-0000-000028000000}" name="回流管相态"/>
    <tableColumn id="41" xr3:uid="{00000000-0010-0000-0000-000029000000}" name="控制跟踪状态"/>
    <tableColumn id="42" xr3:uid="{00000000-0010-0000-0000-00002A000000}" name="综合筛选状态"/>
    <tableColumn id="43" xr3:uid="{00000000-0010-0000-0000-00002B000000}" name="错误 ID"/>
    <tableColumn id="44" xr3:uid="{00000000-0010-0000-0000-00002C000000}" name="水蒸气相对饱和超额 (%)"/>
    <tableColumn id="45" xr3:uid="{00000000-0010-0000-0000-00002D000000}" name="混合器冷凝率 (mg/s)"/>
    <tableColumn id="46" xr3:uid="{00000000-0010-0000-0000-00002E000000}" name="混合器冷凝积分 (mg)"/>
    <tableColumn id="47" xr3:uid="{00000000-0010-0000-0000-00002F000000}" name="出口压力偏差 (kPa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showGridLines="0" workbookViewId="0">
      <selection sqref="A1:L1"/>
    </sheetView>
  </sheetViews>
  <sheetFormatPr defaultRowHeight="13.8"/>
  <cols>
    <col min="1" max="1" width="22" customWidth="1"/>
    <col min="2" max="2" width="12" customWidth="1"/>
    <col min="3" max="3" width="3" customWidth="1"/>
    <col min="4" max="4" width="34" customWidth="1"/>
    <col min="5" max="11" width="13" customWidth="1"/>
    <col min="12" max="12" width="28" customWidth="1"/>
  </cols>
  <sheetData>
    <row r="1" spans="1:16" ht="19.2" customHeight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6" ht="15" customHeight="1">
      <c r="A2" s="28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6" ht="26.4" customHeight="1">
      <c r="N3" s="3" t="s">
        <v>2</v>
      </c>
      <c r="O3" s="3" t="s">
        <v>3</v>
      </c>
      <c r="P3" s="3" t="s">
        <v>4</v>
      </c>
    </row>
    <row r="4" spans="1:16" ht="15" customHeight="1">
      <c r="A4" s="29" t="s">
        <v>5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N4" s="4" t="s">
        <v>6</v>
      </c>
      <c r="O4" s="4">
        <v>3.9975396446122895</v>
      </c>
      <c r="P4" s="4">
        <v>3</v>
      </c>
    </row>
    <row r="5" spans="1:16" ht="15" customHeight="1">
      <c r="A5" s="1" t="s">
        <v>7</v>
      </c>
      <c r="B5" s="2">
        <v>52</v>
      </c>
      <c r="D5" s="3" t="s">
        <v>8</v>
      </c>
      <c r="E5" s="3" t="s">
        <v>9</v>
      </c>
      <c r="N5" s="4" t="s">
        <v>10</v>
      </c>
      <c r="O5" s="4">
        <v>2.5997016764362564</v>
      </c>
      <c r="P5" s="4">
        <v>1.9500000000000002</v>
      </c>
    </row>
    <row r="6" spans="1:16" ht="15" customHeight="1">
      <c r="A6" s="1" t="s">
        <v>11</v>
      </c>
      <c r="B6" s="2">
        <v>52</v>
      </c>
      <c r="D6" s="4" t="s">
        <v>12</v>
      </c>
      <c r="E6" s="5">
        <v>21</v>
      </c>
      <c r="N6" s="4" t="s">
        <v>13</v>
      </c>
      <c r="O6" s="4">
        <v>1.3999543779954127</v>
      </c>
      <c r="P6" s="4">
        <v>0</v>
      </c>
    </row>
    <row r="7" spans="1:16" ht="15" customHeight="1">
      <c r="A7" s="1" t="s">
        <v>14</v>
      </c>
      <c r="B7" s="2">
        <v>21</v>
      </c>
      <c r="D7" s="4" t="s">
        <v>15</v>
      </c>
      <c r="E7" s="5">
        <v>13</v>
      </c>
      <c r="N7" s="4" t="s">
        <v>16</v>
      </c>
      <c r="O7" s="4">
        <v>0.79982881251759397</v>
      </c>
      <c r="P7" s="4">
        <v>0</v>
      </c>
    </row>
    <row r="8" spans="1:16" ht="15" customHeight="1">
      <c r="A8" s="1" t="s">
        <v>17</v>
      </c>
      <c r="B8" s="2">
        <v>13</v>
      </c>
      <c r="D8" s="4" t="s">
        <v>18</v>
      </c>
      <c r="E8" s="5">
        <v>1</v>
      </c>
      <c r="N8" s="4" t="s">
        <v>19</v>
      </c>
      <c r="O8" s="4">
        <v>1.4822809833206079</v>
      </c>
      <c r="P8" s="4">
        <v>1</v>
      </c>
    </row>
    <row r="9" spans="1:16" ht="15" customHeight="1">
      <c r="A9" s="1" t="s">
        <v>20</v>
      </c>
      <c r="B9" s="2">
        <v>24</v>
      </c>
      <c r="D9" s="4" t="s">
        <v>21</v>
      </c>
      <c r="E9" s="5">
        <v>10</v>
      </c>
      <c r="N9" s="4" t="s">
        <v>22</v>
      </c>
      <c r="O9" s="4">
        <v>1.1342600010027133</v>
      </c>
      <c r="P9" s="4">
        <v>1</v>
      </c>
    </row>
    <row r="10" spans="1:16" ht="15" customHeight="1">
      <c r="A10" s="1" t="s">
        <v>23</v>
      </c>
      <c r="B10" s="2">
        <v>28</v>
      </c>
      <c r="D10" s="4" t="s">
        <v>24</v>
      </c>
      <c r="E10" s="5">
        <v>7</v>
      </c>
      <c r="N10" s="4" t="s">
        <v>25</v>
      </c>
      <c r="O10" s="4">
        <v>0.91329022446162444</v>
      </c>
      <c r="P10" s="4">
        <v>0.1</v>
      </c>
    </row>
    <row r="11" spans="1:16" ht="15" customHeight="1">
      <c r="N11" s="4" t="s">
        <v>26</v>
      </c>
      <c r="O11" s="4">
        <v>0.58370136379538529</v>
      </c>
      <c r="P11" s="4">
        <v>0</v>
      </c>
    </row>
    <row r="13" spans="1:16" ht="15" customHeight="1">
      <c r="A13" s="29" t="s">
        <v>27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</row>
    <row r="14" spans="1:16" ht="26.4" customHeight="1">
      <c r="A14" s="3" t="s">
        <v>28</v>
      </c>
      <c r="B14" s="3" t="s">
        <v>29</v>
      </c>
      <c r="C14" s="3" t="s">
        <v>30</v>
      </c>
      <c r="D14" s="3" t="s">
        <v>31</v>
      </c>
      <c r="E14" s="3" t="s">
        <v>32</v>
      </c>
      <c r="F14" s="3" t="s">
        <v>3</v>
      </c>
      <c r="G14" s="3" t="s">
        <v>33</v>
      </c>
      <c r="H14" s="3" t="s">
        <v>34</v>
      </c>
      <c r="I14" s="3" t="s">
        <v>35</v>
      </c>
      <c r="J14" s="3" t="s">
        <v>36</v>
      </c>
      <c r="K14" s="3" t="s">
        <v>37</v>
      </c>
      <c r="L14" s="3" t="s">
        <v>38</v>
      </c>
    </row>
    <row r="15" spans="1:16" ht="15" customHeight="1">
      <c r="A15" s="4" t="s">
        <v>20</v>
      </c>
      <c r="B15" s="6">
        <v>0.1</v>
      </c>
      <c r="C15" s="5">
        <v>6</v>
      </c>
      <c r="D15" s="5">
        <v>5</v>
      </c>
      <c r="E15" s="7">
        <v>3</v>
      </c>
      <c r="F15" s="7">
        <v>3.9975396446122895</v>
      </c>
      <c r="G15" s="7">
        <v>0.99975894751283922</v>
      </c>
      <c r="H15" s="7">
        <v>0.95452706170049439</v>
      </c>
      <c r="I15" s="7">
        <v>0.75784254548457919</v>
      </c>
      <c r="J15" s="7">
        <v>5.5840041816147448</v>
      </c>
      <c r="K15" s="7">
        <v>0</v>
      </c>
      <c r="L15" s="8" t="s">
        <v>39</v>
      </c>
    </row>
    <row r="16" spans="1:16" ht="15" customHeight="1">
      <c r="A16" s="4" t="s">
        <v>20</v>
      </c>
      <c r="B16" s="6">
        <v>0.2</v>
      </c>
      <c r="C16" s="5">
        <v>6</v>
      </c>
      <c r="D16" s="5">
        <v>3</v>
      </c>
      <c r="E16" s="7">
        <v>1.9500000000000002</v>
      </c>
      <c r="F16" s="7">
        <v>2.5997016764362564</v>
      </c>
      <c r="G16" s="7">
        <v>1.1161325491624408</v>
      </c>
      <c r="H16" s="7">
        <v>0.98085208481678376</v>
      </c>
      <c r="I16" s="7">
        <v>0.95345516687781773</v>
      </c>
      <c r="J16" s="7">
        <v>0.87767352143508504</v>
      </c>
      <c r="K16" s="7">
        <v>0</v>
      </c>
      <c r="L16" s="8" t="s">
        <v>40</v>
      </c>
    </row>
    <row r="17" spans="1:12" ht="15" customHeight="1">
      <c r="A17" s="4" t="s">
        <v>20</v>
      </c>
      <c r="B17" s="6">
        <v>0.4</v>
      </c>
      <c r="C17" s="5">
        <v>6</v>
      </c>
      <c r="D17" s="5">
        <v>1</v>
      </c>
      <c r="E17" s="7">
        <v>0</v>
      </c>
      <c r="F17" s="7">
        <v>1.3999543779954127</v>
      </c>
      <c r="G17" s="7">
        <v>1.0799319848539777</v>
      </c>
      <c r="H17" s="7">
        <v>0.88504804835384854</v>
      </c>
      <c r="I17" s="7">
        <v>1.1276021664588292</v>
      </c>
      <c r="J17" s="7">
        <v>-2.3417860664874297</v>
      </c>
      <c r="K17" s="7">
        <v>50.932525402176729</v>
      </c>
      <c r="L17" s="8" t="s">
        <v>40</v>
      </c>
    </row>
    <row r="18" spans="1:12" ht="15" customHeight="1">
      <c r="A18" s="4" t="s">
        <v>20</v>
      </c>
      <c r="B18" s="6">
        <v>1</v>
      </c>
      <c r="C18" s="5">
        <v>6</v>
      </c>
      <c r="D18" s="5">
        <v>1</v>
      </c>
      <c r="E18" s="7">
        <v>0</v>
      </c>
      <c r="F18" s="7">
        <v>0.79982881251759397</v>
      </c>
      <c r="G18" s="7">
        <v>1.0096602848025185</v>
      </c>
      <c r="H18" s="7">
        <v>0.96210166691332411</v>
      </c>
      <c r="I18" s="7">
        <v>1.1941517746453305</v>
      </c>
      <c r="J18" s="7">
        <v>-3.3974775498062968</v>
      </c>
      <c r="K18" s="7">
        <v>65.199610248891915</v>
      </c>
      <c r="L18" s="8" t="s">
        <v>40</v>
      </c>
    </row>
    <row r="19" spans="1:12" ht="15" customHeight="1">
      <c r="A19" s="4" t="s">
        <v>23</v>
      </c>
      <c r="B19" s="6">
        <v>0.1</v>
      </c>
      <c r="C19" s="5">
        <v>7</v>
      </c>
      <c r="D19" s="5">
        <v>4</v>
      </c>
      <c r="E19" s="7">
        <v>1</v>
      </c>
      <c r="F19" s="7">
        <v>1.4822809833206079</v>
      </c>
      <c r="G19" s="7">
        <v>4.9970450432162892</v>
      </c>
      <c r="H19" s="7">
        <v>1</v>
      </c>
      <c r="I19" s="7">
        <v>0.62426078829122955</v>
      </c>
      <c r="J19" s="7">
        <v>8.1805428359892431</v>
      </c>
      <c r="K19" s="7">
        <v>0</v>
      </c>
      <c r="L19" s="8" t="s">
        <v>41</v>
      </c>
    </row>
    <row r="20" spans="1:12" ht="15" customHeight="1">
      <c r="A20" s="4" t="s">
        <v>23</v>
      </c>
      <c r="B20" s="6">
        <v>0.2</v>
      </c>
      <c r="C20" s="5">
        <v>7</v>
      </c>
      <c r="D20" s="5">
        <v>4</v>
      </c>
      <c r="E20" s="7">
        <v>1</v>
      </c>
      <c r="F20" s="7">
        <v>1.1342600010027133</v>
      </c>
      <c r="G20" s="7">
        <v>3.5978724311160755</v>
      </c>
      <c r="H20" s="7">
        <v>1</v>
      </c>
      <c r="I20" s="7">
        <v>0.76622238737350268</v>
      </c>
      <c r="J20" s="7">
        <v>4.7106959555347956</v>
      </c>
      <c r="K20" s="7">
        <v>0</v>
      </c>
      <c r="L20" s="8" t="s">
        <v>41</v>
      </c>
    </row>
    <row r="21" spans="1:12" ht="26.4" customHeight="1">
      <c r="A21" s="4" t="s">
        <v>23</v>
      </c>
      <c r="B21" s="6">
        <v>0.4</v>
      </c>
      <c r="C21" s="5">
        <v>7</v>
      </c>
      <c r="D21" s="5">
        <v>2</v>
      </c>
      <c r="E21" s="7">
        <v>0.1</v>
      </c>
      <c r="F21" s="7">
        <v>0.91329022446162444</v>
      </c>
      <c r="G21" s="7">
        <v>2.3985816207443138</v>
      </c>
      <c r="H21" s="7">
        <v>1</v>
      </c>
      <c r="I21" s="7">
        <v>1.0062643148576287</v>
      </c>
      <c r="J21" s="7">
        <v>-0.11392283830842587</v>
      </c>
      <c r="K21" s="7">
        <v>1.3144281290815252</v>
      </c>
      <c r="L21" s="8" t="s">
        <v>42</v>
      </c>
    </row>
    <row r="22" spans="1:12" ht="26.4" customHeight="1">
      <c r="A22" s="4" t="s">
        <v>23</v>
      </c>
      <c r="B22" s="6">
        <v>1</v>
      </c>
      <c r="C22" s="5">
        <v>7</v>
      </c>
      <c r="D22" s="5">
        <v>1</v>
      </c>
      <c r="E22" s="7">
        <v>0</v>
      </c>
      <c r="F22" s="7">
        <v>0.58370136379538529</v>
      </c>
      <c r="G22" s="7">
        <v>1.7989362155590336</v>
      </c>
      <c r="H22" s="7">
        <v>1</v>
      </c>
      <c r="I22" s="7">
        <v>1.0502503083638788</v>
      </c>
      <c r="J22" s="7">
        <v>-0.928600710449075</v>
      </c>
      <c r="K22" s="7">
        <v>16.749861520264041</v>
      </c>
      <c r="L22" s="8" t="s">
        <v>42</v>
      </c>
    </row>
    <row r="25" spans="1:12" ht="15" customHeight="1">
      <c r="A25" s="29" t="s">
        <v>43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 ht="15" customHeight="1">
      <c r="A26" s="1" t="s">
        <v>20</v>
      </c>
      <c r="B26" s="25" t="s">
        <v>44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1:12" ht="15" customHeight="1">
      <c r="A27" s="1" t="s">
        <v>23</v>
      </c>
      <c r="B27" s="25" t="s">
        <v>45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</row>
    <row r="28" spans="1:12" ht="15" customHeight="1">
      <c r="A28" s="1" t="s">
        <v>46</v>
      </c>
      <c r="B28" s="25" t="s">
        <v>47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 spans="1:12" ht="15" customHeight="1">
      <c r="A29" s="1" t="s">
        <v>48</v>
      </c>
      <c r="B29" s="25" t="s">
        <v>49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</row>
  </sheetData>
  <mergeCells count="9">
    <mergeCell ref="B26:L26"/>
    <mergeCell ref="B27:L27"/>
    <mergeCell ref="B28:L28"/>
    <mergeCell ref="B29:L29"/>
    <mergeCell ref="A1:L1"/>
    <mergeCell ref="A2:L2"/>
    <mergeCell ref="A4:L4"/>
    <mergeCell ref="A13:L13"/>
    <mergeCell ref="A25:L25"/>
  </mergeCells>
  <phoneticPr fontId="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56"/>
  <sheetViews>
    <sheetView showGridLines="0" topLeftCell="B1" zoomScale="40" zoomScaleNormal="40" workbookViewId="0">
      <selection sqref="A1:AS1"/>
    </sheetView>
  </sheetViews>
  <sheetFormatPr defaultRowHeight="13.8"/>
  <cols>
    <col min="1" max="1" width="16" customWidth="1"/>
    <col min="2" max="2" width="45" customWidth="1"/>
    <col min="34" max="37" width="22" customWidth="1"/>
  </cols>
  <sheetData>
    <row r="1" spans="1:47" ht="28.05" customHeight="1">
      <c r="A1" s="26" t="s">
        <v>50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</row>
    <row r="2" spans="1:47" ht="34.049999999999997" customHeight="1">
      <c r="A2" s="28" t="s">
        <v>51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</row>
    <row r="4" spans="1:47" ht="18" customHeight="1">
      <c r="A4" s="3" t="s">
        <v>28</v>
      </c>
      <c r="B4" s="3" t="s">
        <v>52</v>
      </c>
      <c r="C4" s="3" t="s">
        <v>53</v>
      </c>
      <c r="D4" s="3" t="s">
        <v>54</v>
      </c>
      <c r="E4" s="3" t="s">
        <v>29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59</v>
      </c>
      <c r="K4" s="3" t="s">
        <v>60</v>
      </c>
      <c r="L4" s="3" t="s">
        <v>61</v>
      </c>
      <c r="M4" s="3" t="s">
        <v>62</v>
      </c>
      <c r="N4" s="3" t="s">
        <v>63</v>
      </c>
      <c r="O4" s="3" t="s">
        <v>64</v>
      </c>
      <c r="P4" s="3" t="s">
        <v>65</v>
      </c>
      <c r="Q4" s="3" t="s">
        <v>66</v>
      </c>
      <c r="R4" s="3" t="s">
        <v>67</v>
      </c>
      <c r="S4" s="3" t="s">
        <v>68</v>
      </c>
      <c r="T4" s="3" t="s">
        <v>69</v>
      </c>
      <c r="U4" s="3" t="s">
        <v>70</v>
      </c>
      <c r="V4" s="3" t="s">
        <v>71</v>
      </c>
      <c r="W4" s="3" t="s">
        <v>72</v>
      </c>
      <c r="X4" s="3" t="s">
        <v>73</v>
      </c>
      <c r="Y4" s="3" t="s">
        <v>74</v>
      </c>
      <c r="Z4" s="3" t="s">
        <v>75</v>
      </c>
      <c r="AA4" s="3" t="s">
        <v>76</v>
      </c>
      <c r="AB4" s="3" t="s">
        <v>77</v>
      </c>
      <c r="AC4" s="3" t="s">
        <v>78</v>
      </c>
      <c r="AD4" s="3" t="s">
        <v>79</v>
      </c>
      <c r="AE4" s="3" t="s">
        <v>80</v>
      </c>
      <c r="AF4" s="3" t="s">
        <v>81</v>
      </c>
      <c r="AG4" s="3" t="s">
        <v>82</v>
      </c>
      <c r="AH4" s="3" t="s">
        <v>83</v>
      </c>
      <c r="AI4" s="3" t="s">
        <v>84</v>
      </c>
      <c r="AJ4" s="3" t="s">
        <v>85</v>
      </c>
      <c r="AK4" s="3" t="s">
        <v>86</v>
      </c>
      <c r="AL4" s="3" t="s">
        <v>87</v>
      </c>
      <c r="AM4" s="3" t="s">
        <v>88</v>
      </c>
      <c r="AN4" s="3" t="s">
        <v>89</v>
      </c>
      <c r="AO4" s="3" t="s">
        <v>90</v>
      </c>
      <c r="AP4" s="3" t="s">
        <v>91</v>
      </c>
      <c r="AQ4" s="3" t="s">
        <v>92</v>
      </c>
      <c r="AR4" s="3" t="s">
        <v>93</v>
      </c>
      <c r="AS4" s="3" t="s">
        <v>94</v>
      </c>
      <c r="AT4" s="3" t="s">
        <v>95</v>
      </c>
      <c r="AU4" s="3" t="s">
        <v>96</v>
      </c>
    </row>
    <row r="5" spans="1:47" ht="18" customHeight="1">
      <c r="A5" s="4" t="s">
        <v>20</v>
      </c>
      <c r="B5" s="4" t="s">
        <v>97</v>
      </c>
      <c r="C5" s="9" t="b">
        <v>1</v>
      </c>
      <c r="D5" s="9" t="b">
        <v>1</v>
      </c>
      <c r="E5" s="10">
        <v>0.1</v>
      </c>
      <c r="F5" s="10">
        <v>5</v>
      </c>
      <c r="G5" s="10">
        <v>0</v>
      </c>
      <c r="H5" s="10">
        <v>0</v>
      </c>
      <c r="I5" s="10">
        <v>0</v>
      </c>
      <c r="J5" s="10">
        <v>5.0000000000000001E-3</v>
      </c>
      <c r="K5" s="10">
        <v>0</v>
      </c>
      <c r="L5" s="10">
        <v>0</v>
      </c>
      <c r="M5" s="10">
        <v>0</v>
      </c>
      <c r="N5" s="10">
        <v>0</v>
      </c>
      <c r="O5" s="10">
        <v>4.9970450432162989</v>
      </c>
      <c r="P5" s="10">
        <v>4.9970450432162892</v>
      </c>
      <c r="Q5" s="10" t="s">
        <v>98</v>
      </c>
      <c r="R5" s="10">
        <v>0.79916690600531293</v>
      </c>
      <c r="S5" s="10">
        <v>9.9999999999999982E-8</v>
      </c>
      <c r="T5" s="7">
        <v>0</v>
      </c>
      <c r="U5" s="7">
        <v>101.32500000000002</v>
      </c>
      <c r="V5" s="7">
        <v>144.89779018385204</v>
      </c>
      <c r="W5" s="7">
        <v>144.84778729710271</v>
      </c>
      <c r="X5" s="7">
        <v>144.84778729710274</v>
      </c>
      <c r="Y5" s="7">
        <v>141.32500000000002</v>
      </c>
      <c r="Z5" s="7">
        <v>141.32500000000005</v>
      </c>
      <c r="AA5" s="4">
        <v>8.3437751893507259E-2</v>
      </c>
      <c r="AB5" s="4">
        <v>21278.25</v>
      </c>
      <c r="AC5" s="4">
        <v>19.971192082595337</v>
      </c>
      <c r="AD5" s="4">
        <v>10.700230930745477</v>
      </c>
      <c r="AE5" s="4">
        <v>0.50089305700953346</v>
      </c>
      <c r="AF5" s="4">
        <v>0</v>
      </c>
      <c r="AG5" s="4">
        <v>0</v>
      </c>
      <c r="AH5" s="4" t="s">
        <v>99</v>
      </c>
      <c r="AI5" s="4">
        <v>0.51936940645779606</v>
      </c>
      <c r="AJ5" s="4">
        <v>0</v>
      </c>
      <c r="AK5" s="4" t="s">
        <v>99</v>
      </c>
      <c r="AL5" s="4">
        <v>0.50012680430793088</v>
      </c>
      <c r="AM5" s="4">
        <v>0</v>
      </c>
      <c r="AN5" s="4" t="s">
        <v>99</v>
      </c>
      <c r="AO5" s="4" t="s">
        <v>100</v>
      </c>
      <c r="AP5" s="4" t="s">
        <v>12</v>
      </c>
      <c r="AQ5" s="4"/>
      <c r="AR5" s="10">
        <f t="shared" ref="AR5:AR36" si="0">MAX(0,AE5-1)*100</f>
        <v>0</v>
      </c>
      <c r="AS5" s="10">
        <f t="shared" ref="AS5:AS36" si="1">AF5*1000000</f>
        <v>0</v>
      </c>
      <c r="AT5" s="10">
        <f t="shared" ref="AT5:AT36" si="2">AG5*1000000</f>
        <v>0</v>
      </c>
      <c r="AU5" s="10">
        <f t="shared" ref="AU5:AU36" si="3">Z5-Y5</f>
        <v>0</v>
      </c>
    </row>
    <row r="6" spans="1:47" ht="18" customHeight="1">
      <c r="A6" s="4" t="s">
        <v>20</v>
      </c>
      <c r="B6" s="4" t="s">
        <v>101</v>
      </c>
      <c r="C6" s="9" t="b">
        <v>1</v>
      </c>
      <c r="D6" s="9" t="b">
        <v>1</v>
      </c>
      <c r="E6" s="10">
        <v>0.1</v>
      </c>
      <c r="F6" s="10">
        <v>5</v>
      </c>
      <c r="G6" s="10">
        <v>0.4</v>
      </c>
      <c r="H6" s="10">
        <v>0.39999999389737928</v>
      </c>
      <c r="I6" s="10">
        <v>-6.1026207420766809E-9</v>
      </c>
      <c r="J6" s="10">
        <v>2.0000000000000004E-2</v>
      </c>
      <c r="K6" s="10">
        <v>0.28571428571428575</v>
      </c>
      <c r="L6" s="10">
        <v>0.28571428260070364</v>
      </c>
      <c r="M6" s="10">
        <v>0.29115868492574598</v>
      </c>
      <c r="N6" s="10">
        <v>1.1656616390361882E-2</v>
      </c>
      <c r="O6" s="10">
        <v>4.6246728973850431</v>
      </c>
      <c r="P6" s="10">
        <v>4.624672893174357</v>
      </c>
      <c r="Q6" s="10" t="s">
        <v>98</v>
      </c>
      <c r="R6" s="10">
        <v>0.79821110843317822</v>
      </c>
      <c r="S6" s="10">
        <v>0.26107946101429913</v>
      </c>
      <c r="T6" s="7">
        <v>2.0952077299382563</v>
      </c>
      <c r="U6" s="7">
        <v>101.32500000000002</v>
      </c>
      <c r="V6" s="7">
        <v>144.87596850065094</v>
      </c>
      <c r="W6" s="7">
        <v>144.82596561390233</v>
      </c>
      <c r="X6" s="7">
        <v>144.82596561390241</v>
      </c>
      <c r="Y6" s="7">
        <v>141.32500000000002</v>
      </c>
      <c r="Z6" s="7">
        <v>141.32499999961499</v>
      </c>
      <c r="AA6" s="4">
        <v>0.23858802917324437</v>
      </c>
      <c r="AB6" s="4">
        <v>19497.573623122145</v>
      </c>
      <c r="AC6" s="4">
        <v>31.854020305418658</v>
      </c>
      <c r="AD6" s="4">
        <v>5.9476609174547903</v>
      </c>
      <c r="AE6" s="4">
        <v>0.70867419820608113</v>
      </c>
      <c r="AF6" s="4">
        <v>0</v>
      </c>
      <c r="AG6" s="4">
        <v>0</v>
      </c>
      <c r="AH6" s="4" t="s">
        <v>99</v>
      </c>
      <c r="AI6" s="4">
        <v>0.60633103524276366</v>
      </c>
      <c r="AJ6" s="4">
        <v>0</v>
      </c>
      <c r="AK6" s="4" t="s">
        <v>99</v>
      </c>
      <c r="AL6" s="4">
        <v>0.42550761117119951</v>
      </c>
      <c r="AM6" s="4">
        <v>0</v>
      </c>
      <c r="AN6" s="4" t="s">
        <v>99</v>
      </c>
      <c r="AO6" s="4" t="s">
        <v>102</v>
      </c>
      <c r="AP6" s="4" t="s">
        <v>12</v>
      </c>
      <c r="AQ6" s="4"/>
      <c r="AR6" s="10">
        <f t="shared" si="0"/>
        <v>0</v>
      </c>
      <c r="AS6" s="10">
        <f t="shared" si="1"/>
        <v>0</v>
      </c>
      <c r="AT6" s="10">
        <f t="shared" si="2"/>
        <v>0</v>
      </c>
      <c r="AU6" s="10">
        <f t="shared" si="3"/>
        <v>-3.8502889765368309E-10</v>
      </c>
    </row>
    <row r="7" spans="1:47" ht="18" customHeight="1">
      <c r="A7" s="4" t="s">
        <v>20</v>
      </c>
      <c r="B7" s="4" t="s">
        <v>103</v>
      </c>
      <c r="C7" s="9" t="b">
        <v>1</v>
      </c>
      <c r="D7" s="9" t="b">
        <v>1</v>
      </c>
      <c r="E7" s="10">
        <v>0.1</v>
      </c>
      <c r="F7" s="10">
        <v>5</v>
      </c>
      <c r="G7" s="10">
        <v>1</v>
      </c>
      <c r="H7" s="10">
        <v>0.9999997910174363</v>
      </c>
      <c r="I7" s="10">
        <v>-2.0898256369861201E-7</v>
      </c>
      <c r="J7" s="10">
        <v>0.05</v>
      </c>
      <c r="K7" s="10">
        <v>0.5</v>
      </c>
      <c r="L7" s="10">
        <v>0.49999994775435364</v>
      </c>
      <c r="M7" s="10">
        <v>0.51313334257558096</v>
      </c>
      <c r="N7" s="10">
        <v>2.0399076771957729E-2</v>
      </c>
      <c r="O7" s="10">
        <v>4.0778916098964704</v>
      </c>
      <c r="P7" s="10">
        <v>4.0778914638773145</v>
      </c>
      <c r="Q7" s="10" t="s">
        <v>98</v>
      </c>
      <c r="R7" s="10">
        <v>0.79670858329516259</v>
      </c>
      <c r="S7" s="10">
        <v>0.48404281469978794</v>
      </c>
      <c r="T7" s="7">
        <v>1.6731003565659992</v>
      </c>
      <c r="U7" s="7">
        <v>101.32500000000002</v>
      </c>
      <c r="V7" s="7">
        <v>144.85060817400696</v>
      </c>
      <c r="W7" s="7">
        <v>144.80060528726793</v>
      </c>
      <c r="X7" s="7">
        <v>144.80060528726796</v>
      </c>
      <c r="Y7" s="7">
        <v>141.32500000000002</v>
      </c>
      <c r="Z7" s="7">
        <v>141.32499999372172</v>
      </c>
      <c r="AA7" s="4">
        <v>0.39678375119954412</v>
      </c>
      <c r="AB7" s="4">
        <v>17000.727576529371</v>
      </c>
      <c r="AC7" s="4">
        <v>40.670531960070946</v>
      </c>
      <c r="AD7" s="4">
        <v>5.8791442867278079</v>
      </c>
      <c r="AE7" s="4">
        <v>0.72703595747961058</v>
      </c>
      <c r="AF7" s="4">
        <v>0</v>
      </c>
      <c r="AG7" s="4">
        <v>0</v>
      </c>
      <c r="AH7" s="4" t="s">
        <v>99</v>
      </c>
      <c r="AI7" s="4">
        <v>0.68976908237702339</v>
      </c>
      <c r="AJ7" s="4">
        <v>0</v>
      </c>
      <c r="AK7" s="4" t="s">
        <v>99</v>
      </c>
      <c r="AL7" s="4">
        <v>0.48328794669731945</v>
      </c>
      <c r="AM7" s="4">
        <v>0</v>
      </c>
      <c r="AN7" s="4" t="s">
        <v>99</v>
      </c>
      <c r="AO7" s="4" t="s">
        <v>102</v>
      </c>
      <c r="AP7" s="4" t="s">
        <v>12</v>
      </c>
      <c r="AQ7" s="4"/>
      <c r="AR7" s="10">
        <f t="shared" si="0"/>
        <v>0</v>
      </c>
      <c r="AS7" s="10">
        <f t="shared" si="1"/>
        <v>0</v>
      </c>
      <c r="AT7" s="10">
        <f t="shared" si="2"/>
        <v>0</v>
      </c>
      <c r="AU7" s="10">
        <f t="shared" si="3"/>
        <v>-6.2782987697573844E-9</v>
      </c>
    </row>
    <row r="8" spans="1:47" ht="18" customHeight="1">
      <c r="A8" s="4" t="s">
        <v>20</v>
      </c>
      <c r="B8" s="4" t="s">
        <v>104</v>
      </c>
      <c r="C8" s="9" t="b">
        <v>1</v>
      </c>
      <c r="D8" s="9" t="b">
        <v>1</v>
      </c>
      <c r="E8" s="10">
        <v>0.1</v>
      </c>
      <c r="F8" s="10">
        <v>5</v>
      </c>
      <c r="G8" s="10">
        <v>2</v>
      </c>
      <c r="H8" s="10">
        <v>1.9999854534431205</v>
      </c>
      <c r="I8" s="10">
        <v>-1.4546556879491135E-5</v>
      </c>
      <c r="J8" s="10">
        <v>0.1</v>
      </c>
      <c r="K8" s="10">
        <v>0.66666666666666663</v>
      </c>
      <c r="L8" s="10">
        <v>0.66666505037473356</v>
      </c>
      <c r="M8" s="10">
        <v>0.68908253188221869</v>
      </c>
      <c r="N8" s="10">
        <v>2.719870591885911E-2</v>
      </c>
      <c r="O8" s="10">
        <v>3.1410546881704593</v>
      </c>
      <c r="P8" s="10">
        <v>3.1410428434239646</v>
      </c>
      <c r="Q8" s="10" t="s">
        <v>98</v>
      </c>
      <c r="R8" s="10">
        <v>0.79320690273556027</v>
      </c>
      <c r="S8" s="10">
        <v>0.70021614084573203</v>
      </c>
      <c r="T8" s="7">
        <v>1.272167355194084</v>
      </c>
      <c r="U8" s="7">
        <v>101.32500000000003</v>
      </c>
      <c r="V8" s="7">
        <v>144.82510688045576</v>
      </c>
      <c r="W8" s="7">
        <v>144.77510399375598</v>
      </c>
      <c r="X8" s="7">
        <v>144.77510399375598</v>
      </c>
      <c r="Y8" s="7">
        <v>141.32500000000002</v>
      </c>
      <c r="Z8" s="7">
        <v>141.32499903680426</v>
      </c>
      <c r="AA8" s="4">
        <v>0.56785142991737403</v>
      </c>
      <c r="AB8" s="4">
        <v>12910.160500088979</v>
      </c>
      <c r="AC8" s="4">
        <v>47.435860746872379</v>
      </c>
      <c r="AD8" s="4">
        <v>6.0109194011818801</v>
      </c>
      <c r="AE8" s="4">
        <v>0.73309641103941103</v>
      </c>
      <c r="AF8" s="4">
        <v>0</v>
      </c>
      <c r="AG8" s="4">
        <v>0</v>
      </c>
      <c r="AH8" s="4" t="s">
        <v>99</v>
      </c>
      <c r="AI8" s="4">
        <v>0.78959863616319925</v>
      </c>
      <c r="AJ8" s="4">
        <v>0</v>
      </c>
      <c r="AK8" s="4" t="s">
        <v>99</v>
      </c>
      <c r="AL8" s="4">
        <v>0.55315588608172817</v>
      </c>
      <c r="AM8" s="4">
        <v>0</v>
      </c>
      <c r="AN8" s="4" t="s">
        <v>99</v>
      </c>
      <c r="AO8" s="4" t="s">
        <v>102</v>
      </c>
      <c r="AP8" s="4" t="s">
        <v>12</v>
      </c>
      <c r="AQ8" s="4"/>
      <c r="AR8" s="10">
        <f t="shared" si="0"/>
        <v>0</v>
      </c>
      <c r="AS8" s="10">
        <f t="shared" si="1"/>
        <v>0</v>
      </c>
      <c r="AT8" s="10">
        <f t="shared" si="2"/>
        <v>0</v>
      </c>
      <c r="AU8" s="10">
        <f t="shared" si="3"/>
        <v>-9.6319575959569192E-7</v>
      </c>
    </row>
    <row r="9" spans="1:47" ht="18" customHeight="1">
      <c r="A9" s="4" t="s">
        <v>20</v>
      </c>
      <c r="B9" s="4" t="s">
        <v>105</v>
      </c>
      <c r="C9" s="9" t="b">
        <v>1</v>
      </c>
      <c r="D9" s="9" t="b">
        <v>1</v>
      </c>
      <c r="E9" s="10">
        <v>0.1</v>
      </c>
      <c r="F9" s="10">
        <v>5</v>
      </c>
      <c r="G9" s="10">
        <v>3</v>
      </c>
      <c r="H9" s="10">
        <v>2.9997225200585338</v>
      </c>
      <c r="I9" s="10">
        <v>-2.7747994146620769E-4</v>
      </c>
      <c r="J9" s="10">
        <v>0.15000000000000002</v>
      </c>
      <c r="K9" s="10">
        <v>0.75</v>
      </c>
      <c r="L9" s="10">
        <v>0.74998265630049377</v>
      </c>
      <c r="M9" s="10">
        <v>0.77878336576519669</v>
      </c>
      <c r="N9" s="10">
        <v>3.0597910167020129E-2</v>
      </c>
      <c r="O9" s="10">
        <v>2.1273075928764462</v>
      </c>
      <c r="P9" s="10">
        <v>2.1271155663956125</v>
      </c>
      <c r="Q9" s="10" t="s">
        <v>98</v>
      </c>
      <c r="R9" s="10">
        <v>0.78772333424330543</v>
      </c>
      <c r="S9" s="10">
        <v>0.84324157667270261</v>
      </c>
      <c r="T9" s="7">
        <v>1.0292690542973946</v>
      </c>
      <c r="U9" s="7">
        <v>101.32500000000002</v>
      </c>
      <c r="V9" s="7">
        <v>144.80876124549786</v>
      </c>
      <c r="W9" s="7">
        <v>144.75875836071063</v>
      </c>
      <c r="X9" s="7">
        <v>144.75875836071066</v>
      </c>
      <c r="Y9" s="7">
        <v>141.32500000000002</v>
      </c>
      <c r="Z9" s="7">
        <v>141.32499981678069</v>
      </c>
      <c r="AA9" s="4">
        <v>0.6816403941508784</v>
      </c>
      <c r="AB9" s="4">
        <v>8640.785938871868</v>
      </c>
      <c r="AC9" s="4">
        <v>50.766687105882568</v>
      </c>
      <c r="AD9" s="4">
        <v>5.8343392925519169</v>
      </c>
      <c r="AE9" s="4">
        <v>0.74521631136865329</v>
      </c>
      <c r="AF9" s="4">
        <v>0</v>
      </c>
      <c r="AG9" s="4">
        <v>0</v>
      </c>
      <c r="AH9" s="4" t="s">
        <v>99</v>
      </c>
      <c r="AI9" s="4">
        <v>0.86061946191022853</v>
      </c>
      <c r="AJ9" s="4">
        <v>0</v>
      </c>
      <c r="AK9" s="4" t="s">
        <v>99</v>
      </c>
      <c r="AL9" s="4">
        <v>0.60305994652938111</v>
      </c>
      <c r="AM9" s="4">
        <v>0</v>
      </c>
      <c r="AN9" s="4" t="s">
        <v>99</v>
      </c>
      <c r="AO9" s="4" t="s">
        <v>102</v>
      </c>
      <c r="AP9" s="4" t="s">
        <v>12</v>
      </c>
      <c r="AQ9" s="4"/>
      <c r="AR9" s="10">
        <f t="shared" si="0"/>
        <v>0</v>
      </c>
      <c r="AS9" s="10">
        <f t="shared" si="1"/>
        <v>0</v>
      </c>
      <c r="AT9" s="10">
        <f t="shared" si="2"/>
        <v>0</v>
      </c>
      <c r="AU9" s="10">
        <f t="shared" si="3"/>
        <v>-1.8321932770959393E-7</v>
      </c>
    </row>
    <row r="10" spans="1:47" ht="18" customHeight="1">
      <c r="A10" s="4" t="s">
        <v>20</v>
      </c>
      <c r="B10" s="4" t="s">
        <v>106</v>
      </c>
      <c r="C10" s="9" t="b">
        <v>1</v>
      </c>
      <c r="D10" s="9" t="b">
        <v>0</v>
      </c>
      <c r="E10" s="10">
        <v>0.1</v>
      </c>
      <c r="F10" s="10">
        <v>5</v>
      </c>
      <c r="G10" s="10">
        <v>4</v>
      </c>
      <c r="H10" s="10">
        <v>3.9975396446122895</v>
      </c>
      <c r="I10" s="10">
        <v>-2.4603553877105E-3</v>
      </c>
      <c r="J10" s="10">
        <v>0.2</v>
      </c>
      <c r="K10" s="10">
        <v>0.8</v>
      </c>
      <c r="L10" s="10">
        <v>0.79990153732934888</v>
      </c>
      <c r="M10" s="10">
        <v>0.83343174378822882</v>
      </c>
      <c r="N10" s="10">
        <v>3.2634511347045946E-2</v>
      </c>
      <c r="O10" s="10">
        <v>1.0009829894006816</v>
      </c>
      <c r="P10" s="10">
        <v>0.99975894751283922</v>
      </c>
      <c r="Q10" s="10" t="s">
        <v>107</v>
      </c>
      <c r="R10" s="10">
        <v>0.73190690855512353</v>
      </c>
      <c r="S10" s="10">
        <v>0.95452706170049439</v>
      </c>
      <c r="T10" s="7">
        <v>0.86060364390334576</v>
      </c>
      <c r="U10" s="7">
        <v>101.32500000000002</v>
      </c>
      <c r="V10" s="7">
        <v>144.79682202098806</v>
      </c>
      <c r="W10" s="7">
        <v>144.74681912751728</v>
      </c>
      <c r="X10" s="7">
        <v>144.74681912751731</v>
      </c>
      <c r="Y10" s="7">
        <v>141.32500000000002</v>
      </c>
      <c r="Z10" s="7">
        <v>141.32496599113688</v>
      </c>
      <c r="AA10" s="4">
        <v>0.76380379508256369</v>
      </c>
      <c r="AB10" s="4">
        <v>4021.1172252117203</v>
      </c>
      <c r="AC10" s="4">
        <v>52.746946536938538</v>
      </c>
      <c r="AD10" s="4">
        <v>5.5840041816147448</v>
      </c>
      <c r="AE10" s="4">
        <v>0.75784254548457919</v>
      </c>
      <c r="AF10" s="4">
        <v>0</v>
      </c>
      <c r="AG10" s="4">
        <v>0</v>
      </c>
      <c r="AH10" s="4" t="s">
        <v>99</v>
      </c>
      <c r="AI10" s="4">
        <v>0.91360243106506833</v>
      </c>
      <c r="AJ10" s="4">
        <v>0</v>
      </c>
      <c r="AK10" s="4" t="s">
        <v>99</v>
      </c>
      <c r="AL10" s="4">
        <v>0.64035849905462794</v>
      </c>
      <c r="AM10" s="4">
        <v>0</v>
      </c>
      <c r="AN10" s="4" t="s">
        <v>99</v>
      </c>
      <c r="AO10" s="4" t="s">
        <v>102</v>
      </c>
      <c r="AP10" s="4" t="s">
        <v>18</v>
      </c>
      <c r="AQ10" s="4"/>
      <c r="AR10" s="10">
        <f t="shared" si="0"/>
        <v>0</v>
      </c>
      <c r="AS10" s="10">
        <f t="shared" si="1"/>
        <v>0</v>
      </c>
      <c r="AT10" s="10">
        <f t="shared" si="2"/>
        <v>0</v>
      </c>
      <c r="AU10" s="10">
        <f t="shared" si="3"/>
        <v>-3.4008863138978995E-5</v>
      </c>
    </row>
    <row r="11" spans="1:47" ht="18" customHeight="1">
      <c r="A11" s="4" t="s">
        <v>20</v>
      </c>
      <c r="B11" s="4" t="s">
        <v>108</v>
      </c>
      <c r="C11" s="9" t="b">
        <v>1</v>
      </c>
      <c r="D11" s="9" t="b">
        <v>1</v>
      </c>
      <c r="E11" s="10">
        <v>0.2</v>
      </c>
      <c r="F11" s="10">
        <v>3.6</v>
      </c>
      <c r="G11" s="10">
        <v>0</v>
      </c>
      <c r="H11" s="10">
        <v>0</v>
      </c>
      <c r="I11" s="10">
        <v>0</v>
      </c>
      <c r="J11" s="10">
        <v>5.0000000000000001E-3</v>
      </c>
      <c r="K11" s="10">
        <v>0</v>
      </c>
      <c r="L11" s="10">
        <v>0</v>
      </c>
      <c r="M11" s="10">
        <v>0</v>
      </c>
      <c r="N11" s="10">
        <v>0</v>
      </c>
      <c r="O11" s="10">
        <v>3.5978724311160852</v>
      </c>
      <c r="P11" s="10">
        <v>3.5978724311160755</v>
      </c>
      <c r="Q11" s="10" t="s">
        <v>98</v>
      </c>
      <c r="R11" s="10">
        <v>0.78062921927633289</v>
      </c>
      <c r="S11" s="10">
        <v>9.9999999999999982E-8</v>
      </c>
      <c r="T11" s="7">
        <v>0</v>
      </c>
      <c r="U11" s="7">
        <v>101.32500000000002</v>
      </c>
      <c r="V11" s="7">
        <v>161.58922253318173</v>
      </c>
      <c r="W11" s="7">
        <v>161.48553923111882</v>
      </c>
      <c r="X11" s="7">
        <v>161.48553923111882</v>
      </c>
      <c r="Y11" s="7">
        <v>156.32499999999999</v>
      </c>
      <c r="Z11" s="7">
        <v>156.32499999999999</v>
      </c>
      <c r="AA11" s="4">
        <v>8.4682527919307041E-2</v>
      </c>
      <c r="AB11" s="4">
        <v>21278.250000000004</v>
      </c>
      <c r="AC11" s="4">
        <v>19.940278734247784</v>
      </c>
      <c r="AD11" s="4">
        <v>10.669317582397923</v>
      </c>
      <c r="AE11" s="4">
        <v>0.50185337895290816</v>
      </c>
      <c r="AF11" s="4">
        <v>0</v>
      </c>
      <c r="AG11" s="4">
        <v>0</v>
      </c>
      <c r="AH11" s="4" t="s">
        <v>99</v>
      </c>
      <c r="AI11" s="4">
        <v>0.71433397463616377</v>
      </c>
      <c r="AJ11" s="4">
        <v>0</v>
      </c>
      <c r="AK11" s="4" t="s">
        <v>99</v>
      </c>
      <c r="AL11" s="4">
        <v>0.50026464288140593</v>
      </c>
      <c r="AM11" s="4">
        <v>0</v>
      </c>
      <c r="AN11" s="4" t="s">
        <v>99</v>
      </c>
      <c r="AO11" s="4" t="s">
        <v>100</v>
      </c>
      <c r="AP11" s="4" t="s">
        <v>12</v>
      </c>
      <c r="AQ11" s="4"/>
      <c r="AR11" s="10">
        <f t="shared" si="0"/>
        <v>0</v>
      </c>
      <c r="AS11" s="10">
        <f t="shared" si="1"/>
        <v>0</v>
      </c>
      <c r="AT11" s="10">
        <f t="shared" si="2"/>
        <v>0</v>
      </c>
      <c r="AU11" s="10">
        <f t="shared" si="3"/>
        <v>0</v>
      </c>
    </row>
    <row r="12" spans="1:47" ht="18" customHeight="1">
      <c r="A12" s="4" t="s">
        <v>20</v>
      </c>
      <c r="B12" s="4" t="s">
        <v>109</v>
      </c>
      <c r="C12" s="9" t="b">
        <v>1</v>
      </c>
      <c r="D12" s="9" t="b">
        <v>1</v>
      </c>
      <c r="E12" s="10">
        <v>0.2</v>
      </c>
      <c r="F12" s="10">
        <v>3.6</v>
      </c>
      <c r="G12" s="10">
        <v>0.26</v>
      </c>
      <c r="H12" s="10">
        <v>0.25999992216681067</v>
      </c>
      <c r="I12" s="10">
        <v>-7.7833189338072373E-8</v>
      </c>
      <c r="J12" s="10">
        <v>1.3000000000000001E-2</v>
      </c>
      <c r="K12" s="10">
        <v>0.20634920634920637</v>
      </c>
      <c r="L12" s="10">
        <v>0.20634915732351089</v>
      </c>
      <c r="M12" s="10">
        <v>0.20995176676873112</v>
      </c>
      <c r="N12" s="10">
        <v>1.2122878297022325E-2</v>
      </c>
      <c r="O12" s="10">
        <v>3.3485331705763488</v>
      </c>
      <c r="P12" s="10">
        <v>3.3485331376556831</v>
      </c>
      <c r="Q12" s="10" t="s">
        <v>98</v>
      </c>
      <c r="R12" s="10">
        <v>0.78030434361899093</v>
      </c>
      <c r="S12" s="10">
        <v>0.23944478075133033</v>
      </c>
      <c r="T12" s="7">
        <v>2.7723208185410217</v>
      </c>
      <c r="U12" s="7">
        <v>101.32500000000002</v>
      </c>
      <c r="V12" s="7">
        <v>161.5623751295559</v>
      </c>
      <c r="W12" s="7">
        <v>161.45869182750891</v>
      </c>
      <c r="X12" s="7">
        <v>161.45869182750897</v>
      </c>
      <c r="Y12" s="7">
        <v>156.32499999999999</v>
      </c>
      <c r="Z12" s="7">
        <v>156.3249999884876</v>
      </c>
      <c r="AA12" s="4">
        <v>0.24327106953661437</v>
      </c>
      <c r="AB12" s="4">
        <v>19609.46038311602</v>
      </c>
      <c r="AC12" s="4">
        <v>29.094362881246013</v>
      </c>
      <c r="AD12" s="4">
        <v>3.1092155759322395</v>
      </c>
      <c r="AE12" s="4">
        <v>0.83374523821343216</v>
      </c>
      <c r="AF12" s="4">
        <v>0</v>
      </c>
      <c r="AG12" s="4">
        <v>0</v>
      </c>
      <c r="AH12" s="4" t="s">
        <v>99</v>
      </c>
      <c r="AI12" s="4">
        <v>0.81306601476029916</v>
      </c>
      <c r="AJ12" s="4">
        <v>0</v>
      </c>
      <c r="AK12" s="4" t="s">
        <v>99</v>
      </c>
      <c r="AL12" s="4">
        <v>0.51465694444808296</v>
      </c>
      <c r="AM12" s="4">
        <v>0</v>
      </c>
      <c r="AN12" s="4" t="s">
        <v>99</v>
      </c>
      <c r="AO12" s="4" t="s">
        <v>102</v>
      </c>
      <c r="AP12" s="4" t="s">
        <v>12</v>
      </c>
      <c r="AQ12" s="4"/>
      <c r="AR12" s="10">
        <f t="shared" si="0"/>
        <v>0</v>
      </c>
      <c r="AS12" s="10">
        <f t="shared" si="1"/>
        <v>0</v>
      </c>
      <c r="AT12" s="10">
        <f t="shared" si="2"/>
        <v>0</v>
      </c>
      <c r="AU12" s="10">
        <f t="shared" si="3"/>
        <v>-1.1512383935041726E-8</v>
      </c>
    </row>
    <row r="13" spans="1:47" ht="18" customHeight="1">
      <c r="A13" s="4" t="s">
        <v>20</v>
      </c>
      <c r="B13" s="4" t="s">
        <v>110</v>
      </c>
      <c r="C13" s="9" t="b">
        <v>1</v>
      </c>
      <c r="D13" s="9" t="b">
        <v>1</v>
      </c>
      <c r="E13" s="10">
        <v>0.2</v>
      </c>
      <c r="F13" s="10">
        <v>3.6</v>
      </c>
      <c r="G13" s="10">
        <v>0.65</v>
      </c>
      <c r="H13" s="10">
        <v>0.64999941672106665</v>
      </c>
      <c r="I13" s="10">
        <v>-5.8327893337484227E-7</v>
      </c>
      <c r="J13" s="10">
        <v>3.2500000000000001E-2</v>
      </c>
      <c r="K13" s="10">
        <v>0.39393939393939398</v>
      </c>
      <c r="L13" s="10">
        <v>0.39393917969544917</v>
      </c>
      <c r="M13" s="10">
        <v>0.40295633710499196</v>
      </c>
      <c r="N13" s="10">
        <v>2.3143669652805E-2</v>
      </c>
      <c r="O13" s="10">
        <v>2.9772917695822181</v>
      </c>
      <c r="P13" s="10">
        <v>2.9772914133390289</v>
      </c>
      <c r="Q13" s="10" t="s">
        <v>98</v>
      </c>
      <c r="R13" s="10">
        <v>0.7782849493493712</v>
      </c>
      <c r="S13" s="10">
        <v>0.46984834197226633</v>
      </c>
      <c r="T13" s="7">
        <v>2.3534798208705832</v>
      </c>
      <c r="U13" s="7">
        <v>101.32500000000002</v>
      </c>
      <c r="V13" s="7">
        <v>161.53342019399867</v>
      </c>
      <c r="W13" s="7">
        <v>161.42973689202319</v>
      </c>
      <c r="X13" s="7">
        <v>161.42973689202319</v>
      </c>
      <c r="Y13" s="7">
        <v>156.32499999999999</v>
      </c>
      <c r="Z13" s="7">
        <v>156.32499999005483</v>
      </c>
      <c r="AA13" s="4">
        <v>0.44247126489675176</v>
      </c>
      <c r="AB13" s="4">
        <v>17211.180452393735</v>
      </c>
      <c r="AC13" s="4">
        <v>37.380898298441764</v>
      </c>
      <c r="AD13" s="4">
        <v>0.87767352143508504</v>
      </c>
      <c r="AE13" s="4">
        <v>0.95326718282713718</v>
      </c>
      <c r="AF13" s="4">
        <v>0</v>
      </c>
      <c r="AG13" s="4">
        <v>0</v>
      </c>
      <c r="AH13" s="4" t="s">
        <v>111</v>
      </c>
      <c r="AI13" s="4">
        <v>0.94890866980098354</v>
      </c>
      <c r="AJ13" s="4">
        <v>0</v>
      </c>
      <c r="AK13" s="4" t="s">
        <v>99</v>
      </c>
      <c r="AL13" s="4">
        <v>0.59801355476596918</v>
      </c>
      <c r="AM13" s="4">
        <v>0</v>
      </c>
      <c r="AN13" s="4" t="s">
        <v>99</v>
      </c>
      <c r="AO13" s="4" t="s">
        <v>102</v>
      </c>
      <c r="AP13" s="4" t="s">
        <v>24</v>
      </c>
      <c r="AQ13" s="4"/>
      <c r="AR13" s="10">
        <f t="shared" si="0"/>
        <v>0</v>
      </c>
      <c r="AS13" s="10">
        <f t="shared" si="1"/>
        <v>0</v>
      </c>
      <c r="AT13" s="10">
        <f t="shared" si="2"/>
        <v>0</v>
      </c>
      <c r="AU13" s="10">
        <f t="shared" si="3"/>
        <v>-9.9451540336303879E-9</v>
      </c>
    </row>
    <row r="14" spans="1:47" ht="18" customHeight="1">
      <c r="A14" s="4" t="s">
        <v>20</v>
      </c>
      <c r="B14" s="4" t="s">
        <v>112</v>
      </c>
      <c r="C14" s="9" t="b">
        <v>1</v>
      </c>
      <c r="D14" s="9" t="b">
        <v>1</v>
      </c>
      <c r="E14" s="10">
        <v>0.2</v>
      </c>
      <c r="F14" s="10">
        <v>3.6</v>
      </c>
      <c r="G14" s="10">
        <v>1.3</v>
      </c>
      <c r="H14" s="10">
        <v>1.2999888727797626</v>
      </c>
      <c r="I14" s="10">
        <v>-1.1127220237439062E-5</v>
      </c>
      <c r="J14" s="10">
        <v>6.5000000000000002E-2</v>
      </c>
      <c r="K14" s="10">
        <v>0.56521739130434789</v>
      </c>
      <c r="L14" s="10">
        <v>0.56521528784989106</v>
      </c>
      <c r="M14" s="10">
        <v>0.5804989510241656</v>
      </c>
      <c r="N14" s="10">
        <v>3.3206029017063085E-2</v>
      </c>
      <c r="O14" s="10">
        <v>2.345164528707453</v>
      </c>
      <c r="P14" s="10">
        <v>2.3451570559346888</v>
      </c>
      <c r="Q14" s="10" t="s">
        <v>98</v>
      </c>
      <c r="R14" s="10">
        <v>0.77243460034232259</v>
      </c>
      <c r="S14" s="10">
        <v>0.70872064390428435</v>
      </c>
      <c r="T14" s="7">
        <v>1.9219014372434478</v>
      </c>
      <c r="U14" s="7">
        <v>101.32500000000002</v>
      </c>
      <c r="V14" s="7">
        <v>161.51151634818814</v>
      </c>
      <c r="W14" s="7">
        <v>161.40783304736632</v>
      </c>
      <c r="X14" s="7">
        <v>161.40783304736638</v>
      </c>
      <c r="Y14" s="7">
        <v>156.32499999999999</v>
      </c>
      <c r="Z14" s="7">
        <v>156.32500067871351</v>
      </c>
      <c r="AA14" s="4">
        <v>0.74301011758766144</v>
      </c>
      <c r="AB14" s="4">
        <v>13284.631213921451</v>
      </c>
      <c r="AC14" s="4">
        <v>47.263755071553476</v>
      </c>
      <c r="AD14" s="4">
        <v>0.93859679039501032</v>
      </c>
      <c r="AE14" s="4">
        <v>0.95345516687781773</v>
      </c>
      <c r="AF14" s="4">
        <v>0</v>
      </c>
      <c r="AG14" s="4">
        <v>0</v>
      </c>
      <c r="AH14" s="4" t="s">
        <v>111</v>
      </c>
      <c r="AI14" s="4">
        <v>0.99979890140271765</v>
      </c>
      <c r="AJ14" s="4">
        <v>1.2736157371883062E-4</v>
      </c>
      <c r="AK14" s="4" t="s">
        <v>113</v>
      </c>
      <c r="AL14" s="4">
        <v>0.62902058985595632</v>
      </c>
      <c r="AM14" s="4">
        <v>0</v>
      </c>
      <c r="AN14" s="4" t="s">
        <v>99</v>
      </c>
      <c r="AO14" s="4" t="s">
        <v>102</v>
      </c>
      <c r="AP14" s="4" t="s">
        <v>24</v>
      </c>
      <c r="AQ14" s="4"/>
      <c r="AR14" s="10">
        <f t="shared" si="0"/>
        <v>0</v>
      </c>
      <c r="AS14" s="10">
        <f t="shared" si="1"/>
        <v>0</v>
      </c>
      <c r="AT14" s="10">
        <f t="shared" si="2"/>
        <v>0</v>
      </c>
      <c r="AU14" s="10">
        <f t="shared" si="3"/>
        <v>6.7871351916437561E-7</v>
      </c>
    </row>
    <row r="15" spans="1:47" ht="18" customHeight="1">
      <c r="A15" s="4" t="s">
        <v>20</v>
      </c>
      <c r="B15" s="4" t="s">
        <v>114</v>
      </c>
      <c r="C15" s="9" t="b">
        <v>1</v>
      </c>
      <c r="D15" s="9" t="b">
        <v>1</v>
      </c>
      <c r="E15" s="10">
        <v>0.2</v>
      </c>
      <c r="F15" s="10">
        <v>3.6</v>
      </c>
      <c r="G15" s="10">
        <v>1.9500000000000002</v>
      </c>
      <c r="H15" s="10">
        <v>1.9499333230718863</v>
      </c>
      <c r="I15" s="10">
        <v>-6.6676928113906797E-5</v>
      </c>
      <c r="J15" s="10">
        <v>9.7500000000000017E-2</v>
      </c>
      <c r="K15" s="10">
        <v>0.66101694915254239</v>
      </c>
      <c r="L15" s="10">
        <v>0.66100928716627838</v>
      </c>
      <c r="M15" s="10">
        <v>0.68052887431060027</v>
      </c>
      <c r="N15" s="10">
        <v>3.8833862910891755E-2</v>
      </c>
      <c r="O15" s="10">
        <v>1.6975947173643156</v>
      </c>
      <c r="P15" s="10">
        <v>1.6975605390954418</v>
      </c>
      <c r="Q15" s="10" t="s">
        <v>98</v>
      </c>
      <c r="R15" s="10">
        <v>0.76514321993198586</v>
      </c>
      <c r="S15" s="10">
        <v>0.86764125445296836</v>
      </c>
      <c r="T15" s="7">
        <v>1.6420316524778353</v>
      </c>
      <c r="U15" s="7">
        <v>101.32500000000002</v>
      </c>
      <c r="V15" s="7">
        <v>161.49846945073776</v>
      </c>
      <c r="W15" s="7">
        <v>161.39478615526971</v>
      </c>
      <c r="X15" s="7">
        <v>161.39478615526974</v>
      </c>
      <c r="Y15" s="7">
        <v>156.32499999999999</v>
      </c>
      <c r="Z15" s="7">
        <v>156.32500048197269</v>
      </c>
      <c r="AA15" s="4">
        <v>0.99547033335215018</v>
      </c>
      <c r="AB15" s="4">
        <v>9430.5478660615754</v>
      </c>
      <c r="AC15" s="4">
        <v>54.42869542847717</v>
      </c>
      <c r="AD15" s="4">
        <v>2.0646731654304489</v>
      </c>
      <c r="AE15" s="4">
        <v>0.9047781238411442</v>
      </c>
      <c r="AF15" s="4">
        <v>0</v>
      </c>
      <c r="AG15" s="4">
        <v>0</v>
      </c>
      <c r="AH15" s="4" t="s">
        <v>99</v>
      </c>
      <c r="AI15" s="4">
        <v>1.0004694976367356</v>
      </c>
      <c r="AJ15" s="4">
        <v>2.5659289099752781E-4</v>
      </c>
      <c r="AK15" s="4" t="s">
        <v>113</v>
      </c>
      <c r="AL15" s="4">
        <v>0.62937618350683489</v>
      </c>
      <c r="AM15" s="4">
        <v>0</v>
      </c>
      <c r="AN15" s="4" t="s">
        <v>99</v>
      </c>
      <c r="AO15" s="4" t="s">
        <v>102</v>
      </c>
      <c r="AP15" s="4" t="s">
        <v>12</v>
      </c>
      <c r="AQ15" s="4"/>
      <c r="AR15" s="10">
        <f t="shared" si="0"/>
        <v>0</v>
      </c>
      <c r="AS15" s="10">
        <f t="shared" si="1"/>
        <v>0</v>
      </c>
      <c r="AT15" s="10">
        <f t="shared" si="2"/>
        <v>0</v>
      </c>
      <c r="AU15" s="10">
        <f t="shared" si="3"/>
        <v>4.8197270530181413E-7</v>
      </c>
    </row>
    <row r="16" spans="1:47" ht="18" customHeight="1">
      <c r="A16" s="4" t="s">
        <v>20</v>
      </c>
      <c r="B16" s="4" t="s">
        <v>115</v>
      </c>
      <c r="C16" s="9" t="b">
        <v>1</v>
      </c>
      <c r="D16" s="9" t="b">
        <v>1</v>
      </c>
      <c r="E16" s="10">
        <v>0.2</v>
      </c>
      <c r="F16" s="10">
        <v>3.6</v>
      </c>
      <c r="G16" s="10">
        <v>2.6</v>
      </c>
      <c r="H16" s="10">
        <v>2.5997016764362564</v>
      </c>
      <c r="I16" s="10">
        <v>-2.9832356374370761E-4</v>
      </c>
      <c r="J16" s="10">
        <v>0.13</v>
      </c>
      <c r="K16" s="10">
        <v>0.72222222222222221</v>
      </c>
      <c r="L16" s="10">
        <v>0.72219920152086492</v>
      </c>
      <c r="M16" s="10">
        <v>0.74369274413984487</v>
      </c>
      <c r="N16" s="10">
        <v>4.2428728093366265E-2</v>
      </c>
      <c r="O16" s="10">
        <v>1.1162811715007963</v>
      </c>
      <c r="P16" s="10">
        <v>1.1161325491624408</v>
      </c>
      <c r="Q16" s="10" t="s">
        <v>116</v>
      </c>
      <c r="R16" s="10">
        <v>0.75204290889783498</v>
      </c>
      <c r="S16" s="10">
        <v>0.98085208481678376</v>
      </c>
      <c r="T16" s="7">
        <v>1.4371319146997195</v>
      </c>
      <c r="U16" s="7">
        <v>101.32500000000003</v>
      </c>
      <c r="V16" s="7">
        <v>161.49726600882622</v>
      </c>
      <c r="W16" s="7">
        <v>161.39358272425545</v>
      </c>
      <c r="X16" s="7">
        <v>161.39358272425548</v>
      </c>
      <c r="Y16" s="7">
        <v>156.32499999999999</v>
      </c>
      <c r="Z16" s="7">
        <v>156.32500207586136</v>
      </c>
      <c r="AA16" s="4">
        <v>1.0028483419016221</v>
      </c>
      <c r="AB16" s="4">
        <v>6100.9522728451602</v>
      </c>
      <c r="AC16" s="4">
        <v>57.205167062878729</v>
      </c>
      <c r="AD16" s="4">
        <v>3.3094685885593265</v>
      </c>
      <c r="AE16" s="4">
        <v>0.8538472142669814</v>
      </c>
      <c r="AF16" s="4">
        <v>0</v>
      </c>
      <c r="AG16" s="4">
        <v>0</v>
      </c>
      <c r="AH16" s="4" t="s">
        <v>99</v>
      </c>
      <c r="AI16" s="4">
        <v>1.0004232004547016</v>
      </c>
      <c r="AJ16" s="4">
        <v>2.6027958755523735E-4</v>
      </c>
      <c r="AK16" s="4" t="s">
        <v>113</v>
      </c>
      <c r="AL16" s="4">
        <v>0.62944617859669838</v>
      </c>
      <c r="AM16" s="4">
        <v>0</v>
      </c>
      <c r="AN16" s="4" t="s">
        <v>99</v>
      </c>
      <c r="AO16" s="4" t="s">
        <v>102</v>
      </c>
      <c r="AP16" s="4" t="s">
        <v>24</v>
      </c>
      <c r="AQ16" s="4"/>
      <c r="AR16" s="10">
        <f t="shared" si="0"/>
        <v>0</v>
      </c>
      <c r="AS16" s="10">
        <f t="shared" si="1"/>
        <v>0</v>
      </c>
      <c r="AT16" s="10">
        <f t="shared" si="2"/>
        <v>0</v>
      </c>
      <c r="AU16" s="10">
        <f t="shared" si="3"/>
        <v>2.0758613743510068E-6</v>
      </c>
    </row>
    <row r="17" spans="1:47" ht="18" customHeight="1">
      <c r="A17" s="4" t="s">
        <v>20</v>
      </c>
      <c r="B17" s="4" t="s">
        <v>117</v>
      </c>
      <c r="C17" s="9" t="b">
        <v>1</v>
      </c>
      <c r="D17" s="9" t="b">
        <v>1</v>
      </c>
      <c r="E17" s="10">
        <v>0.4</v>
      </c>
      <c r="F17" s="10">
        <v>2.4</v>
      </c>
      <c r="G17" s="10">
        <v>0</v>
      </c>
      <c r="H17" s="10">
        <v>0</v>
      </c>
      <c r="I17" s="10">
        <v>0</v>
      </c>
      <c r="J17" s="10">
        <v>5.0000000000000001E-3</v>
      </c>
      <c r="K17" s="10">
        <v>0</v>
      </c>
      <c r="L17" s="10">
        <v>0</v>
      </c>
      <c r="M17" s="10">
        <v>0</v>
      </c>
      <c r="N17" s="10">
        <v>0</v>
      </c>
      <c r="O17" s="10">
        <v>2.3985816207443227</v>
      </c>
      <c r="P17" s="10">
        <v>2.3985816207443138</v>
      </c>
      <c r="Q17" s="10" t="s">
        <v>98</v>
      </c>
      <c r="R17" s="10">
        <v>0.75853167965150736</v>
      </c>
      <c r="S17" s="10">
        <v>9.9999999999999969E-8</v>
      </c>
      <c r="T17" s="7">
        <v>0</v>
      </c>
      <c r="U17" s="7">
        <v>101.32500000000002</v>
      </c>
      <c r="V17" s="7">
        <v>178.58282706860214</v>
      </c>
      <c r="W17" s="7">
        <v>178.39850314267599</v>
      </c>
      <c r="X17" s="7">
        <v>178.39850314267602</v>
      </c>
      <c r="Y17" s="7">
        <v>171.32500000000002</v>
      </c>
      <c r="Z17" s="7">
        <v>171.32500000000002</v>
      </c>
      <c r="AA17" s="4">
        <v>8.1362817100107121E-2</v>
      </c>
      <c r="AB17" s="4">
        <v>21278.250000000004</v>
      </c>
      <c r="AC17" s="4">
        <v>19.8938688918102</v>
      </c>
      <c r="AD17" s="4">
        <v>10.62290773996034</v>
      </c>
      <c r="AE17" s="4">
        <v>0.50329898859059863</v>
      </c>
      <c r="AF17" s="4">
        <v>0</v>
      </c>
      <c r="AG17" s="4">
        <v>0</v>
      </c>
      <c r="AH17" s="4" t="s">
        <v>99</v>
      </c>
      <c r="AI17" s="4">
        <v>0.99959116201143772</v>
      </c>
      <c r="AJ17" s="4">
        <v>2.4675846153910834E-5</v>
      </c>
      <c r="AK17" s="4" t="s">
        <v>113</v>
      </c>
      <c r="AL17" s="4">
        <v>0.50046930197166695</v>
      </c>
      <c r="AM17" s="4">
        <v>0</v>
      </c>
      <c r="AN17" s="4" t="s">
        <v>99</v>
      </c>
      <c r="AO17" s="4" t="s">
        <v>100</v>
      </c>
      <c r="AP17" s="4" t="s">
        <v>12</v>
      </c>
      <c r="AQ17" s="4"/>
      <c r="AR17" s="10">
        <f t="shared" si="0"/>
        <v>0</v>
      </c>
      <c r="AS17" s="10">
        <f t="shared" si="1"/>
        <v>0</v>
      </c>
      <c r="AT17" s="10">
        <f t="shared" si="2"/>
        <v>0</v>
      </c>
      <c r="AU17" s="10">
        <f t="shared" si="3"/>
        <v>0</v>
      </c>
    </row>
    <row r="18" spans="1:47" ht="18" customHeight="1">
      <c r="A18" s="4" t="s">
        <v>20</v>
      </c>
      <c r="B18" s="4" t="s">
        <v>118</v>
      </c>
      <c r="C18" s="9" t="b">
        <v>1</v>
      </c>
      <c r="D18" s="9" t="b">
        <v>1</v>
      </c>
      <c r="E18" s="10">
        <v>0.4</v>
      </c>
      <c r="F18" s="10">
        <v>2.4</v>
      </c>
      <c r="G18" s="10">
        <v>0.13999999999999999</v>
      </c>
      <c r="H18" s="10">
        <v>0.1399996624112142</v>
      </c>
      <c r="I18" s="10">
        <v>-3.3758878578704632E-7</v>
      </c>
      <c r="J18" s="10">
        <v>6.9999999999999993E-3</v>
      </c>
      <c r="K18" s="10">
        <v>0.12280701754385964</v>
      </c>
      <c r="L18" s="10">
        <v>0.12280675778017404</v>
      </c>
      <c r="M18" s="10">
        <v>0.12410114036712692</v>
      </c>
      <c r="N18" s="10">
        <v>9.6197558038009397E-3</v>
      </c>
      <c r="O18" s="10">
        <v>2.2604418545485543</v>
      </c>
      <c r="P18" s="10">
        <v>2.2604416664284797</v>
      </c>
      <c r="Q18" s="10" t="s">
        <v>98</v>
      </c>
      <c r="R18" s="10">
        <v>0.75621091284441888</v>
      </c>
      <c r="S18" s="10">
        <v>0.17444196828393638</v>
      </c>
      <c r="T18" s="7">
        <v>3.5366804266703493</v>
      </c>
      <c r="U18" s="7">
        <v>101.32500000000002</v>
      </c>
      <c r="V18" s="7">
        <v>178.57256422919934</v>
      </c>
      <c r="W18" s="7">
        <v>178.3882403034975</v>
      </c>
      <c r="X18" s="7">
        <v>178.38824030349753</v>
      </c>
      <c r="Y18" s="7">
        <v>171.32500000000002</v>
      </c>
      <c r="Z18" s="7">
        <v>171.32500005395653</v>
      </c>
      <c r="AA18" s="4">
        <v>0.22300563485395272</v>
      </c>
      <c r="AB18" s="4">
        <v>19874.06048788135</v>
      </c>
      <c r="AC18" s="4">
        <v>26.309782252454568</v>
      </c>
      <c r="AD18" s="4">
        <v>1.1179203461361311</v>
      </c>
      <c r="AE18" s="4">
        <v>0.93588350466813075</v>
      </c>
      <c r="AF18" s="4">
        <v>0</v>
      </c>
      <c r="AG18" s="4">
        <v>0</v>
      </c>
      <c r="AH18" s="4" t="s">
        <v>111</v>
      </c>
      <c r="AI18" s="4">
        <v>0.99982776496710601</v>
      </c>
      <c r="AJ18" s="4">
        <v>1.2651658913524254E-4</v>
      </c>
      <c r="AK18" s="4" t="s">
        <v>113</v>
      </c>
      <c r="AL18" s="4">
        <v>0.57990035937862527</v>
      </c>
      <c r="AM18" s="4">
        <v>0</v>
      </c>
      <c r="AN18" s="4" t="s">
        <v>99</v>
      </c>
      <c r="AO18" s="4" t="s">
        <v>102</v>
      </c>
      <c r="AP18" s="4" t="s">
        <v>24</v>
      </c>
      <c r="AQ18" s="4"/>
      <c r="AR18" s="10">
        <f t="shared" si="0"/>
        <v>0</v>
      </c>
      <c r="AS18" s="10">
        <f t="shared" si="1"/>
        <v>0</v>
      </c>
      <c r="AT18" s="10">
        <f t="shared" si="2"/>
        <v>0</v>
      </c>
      <c r="AU18" s="10">
        <f t="shared" si="3"/>
        <v>5.3956512147124158E-8</v>
      </c>
    </row>
    <row r="19" spans="1:47" ht="18" customHeight="1">
      <c r="A19" s="4" t="s">
        <v>20</v>
      </c>
      <c r="B19" s="4" t="s">
        <v>119</v>
      </c>
      <c r="C19" s="9" t="b">
        <v>1</v>
      </c>
      <c r="D19" s="9" t="b">
        <v>1</v>
      </c>
      <c r="E19" s="10">
        <v>0.4</v>
      </c>
      <c r="F19" s="10">
        <v>2.4</v>
      </c>
      <c r="G19" s="10">
        <v>0.35</v>
      </c>
      <c r="H19" s="10">
        <v>0.34999865019611576</v>
      </c>
      <c r="I19" s="10">
        <v>-1.3498038842207905E-6</v>
      </c>
      <c r="J19" s="10">
        <v>1.7499999999999998E-2</v>
      </c>
      <c r="K19" s="10">
        <v>0.25925925925925924</v>
      </c>
      <c r="L19" s="10">
        <v>0.2592585186253859</v>
      </c>
      <c r="M19" s="10">
        <v>0.26244815040133507</v>
      </c>
      <c r="N19" s="10">
        <v>2.0308358280098391E-2</v>
      </c>
      <c r="O19" s="10">
        <v>2.0531383936862597</v>
      </c>
      <c r="P19" s="10">
        <v>2.0531376606136695</v>
      </c>
      <c r="Q19" s="10" t="s">
        <v>98</v>
      </c>
      <c r="R19" s="10">
        <v>0.75284918167603687</v>
      </c>
      <c r="S19" s="10">
        <v>0.37180094910997835</v>
      </c>
      <c r="T19" s="7">
        <v>3.2102694195422923</v>
      </c>
      <c r="U19" s="7">
        <v>101.32500000000003</v>
      </c>
      <c r="V19" s="7">
        <v>178.55894183529725</v>
      </c>
      <c r="W19" s="7">
        <v>178.37461791004097</v>
      </c>
      <c r="X19" s="7">
        <v>178.37461791004102</v>
      </c>
      <c r="Y19" s="7">
        <v>171.32500000000002</v>
      </c>
      <c r="Z19" s="7">
        <v>171.32500006326055</v>
      </c>
      <c r="AA19" s="4">
        <v>0.42558382271418504</v>
      </c>
      <c r="AB19" s="4">
        <v>17818.008049160111</v>
      </c>
      <c r="AC19" s="4">
        <v>34.341873762620082</v>
      </c>
      <c r="AD19" s="4">
        <v>-2.1779653439384248</v>
      </c>
      <c r="AE19" s="4">
        <v>1.1276021664588292</v>
      </c>
      <c r="AF19" s="4">
        <v>4.98484697889121E-7</v>
      </c>
      <c r="AG19" s="4">
        <v>2.9909081873347262E-5</v>
      </c>
      <c r="AH19" s="4" t="s">
        <v>113</v>
      </c>
      <c r="AI19" s="4">
        <v>0.99983715415407115</v>
      </c>
      <c r="AJ19" s="4">
        <v>2.6467019434178187E-4</v>
      </c>
      <c r="AK19" s="4" t="s">
        <v>113</v>
      </c>
      <c r="AL19" s="4">
        <v>0.57524702799635008</v>
      </c>
      <c r="AM19" s="4">
        <v>0</v>
      </c>
      <c r="AN19" s="4" t="s">
        <v>99</v>
      </c>
      <c r="AO19" s="4" t="s">
        <v>102</v>
      </c>
      <c r="AP19" s="4" t="s">
        <v>15</v>
      </c>
      <c r="AQ19" s="4"/>
      <c r="AR19" s="10">
        <f t="shared" si="0"/>
        <v>12.760216645882917</v>
      </c>
      <c r="AS19" s="10">
        <f t="shared" si="1"/>
        <v>0.49848469788912098</v>
      </c>
      <c r="AT19" s="10">
        <f t="shared" si="2"/>
        <v>29.909081873347262</v>
      </c>
      <c r="AU19" s="10">
        <f t="shared" si="3"/>
        <v>6.3260529259423492E-8</v>
      </c>
    </row>
    <row r="20" spans="1:47" ht="18" customHeight="1">
      <c r="A20" s="4" t="s">
        <v>20</v>
      </c>
      <c r="B20" s="4" t="s">
        <v>120</v>
      </c>
      <c r="C20" s="9" t="b">
        <v>1</v>
      </c>
      <c r="D20" s="9" t="b">
        <v>1</v>
      </c>
      <c r="E20" s="10">
        <v>0.4</v>
      </c>
      <c r="F20" s="10">
        <v>2.4</v>
      </c>
      <c r="G20" s="10">
        <v>0.7</v>
      </c>
      <c r="H20" s="10">
        <v>0.69999332978203699</v>
      </c>
      <c r="I20" s="10">
        <v>-6.6702179629674063E-6</v>
      </c>
      <c r="J20" s="10">
        <v>3.4999999999999996E-2</v>
      </c>
      <c r="K20" s="10">
        <v>0.41176470588235292</v>
      </c>
      <c r="L20" s="10">
        <v>0.41176239783939744</v>
      </c>
      <c r="M20" s="10">
        <v>0.41791161811389893</v>
      </c>
      <c r="N20" s="10">
        <v>3.2254362580427173E-2</v>
      </c>
      <c r="O20" s="10">
        <v>1.7060132064050242</v>
      </c>
      <c r="P20" s="10">
        <v>1.7060095540260609</v>
      </c>
      <c r="Q20" s="10" t="s">
        <v>98</v>
      </c>
      <c r="R20" s="10">
        <v>0.74716793789669167</v>
      </c>
      <c r="S20" s="10">
        <v>0.60266620663302084</v>
      </c>
      <c r="T20" s="7">
        <v>2.8132465152167048</v>
      </c>
      <c r="U20" s="7">
        <v>101.32500000000002</v>
      </c>
      <c r="V20" s="7">
        <v>178.53871200304457</v>
      </c>
      <c r="W20" s="7">
        <v>178.3543880795423</v>
      </c>
      <c r="X20" s="7">
        <v>178.3543880795423</v>
      </c>
      <c r="Y20" s="7">
        <v>171.32500000000002</v>
      </c>
      <c r="Z20" s="7">
        <v>171.32500091454008</v>
      </c>
      <c r="AA20" s="4">
        <v>0.74156593330379417</v>
      </c>
      <c r="AB20" s="4">
        <v>14500.623166462245</v>
      </c>
      <c r="AC20" s="4">
        <v>44.728864871489179</v>
      </c>
      <c r="AD20" s="4">
        <v>-2.3417860664874297</v>
      </c>
      <c r="AE20" s="4">
        <v>1.1271373152671531</v>
      </c>
      <c r="AF20" s="4">
        <v>8.4887542336961218E-7</v>
      </c>
      <c r="AG20" s="4">
        <v>5.0932525402176728E-5</v>
      </c>
      <c r="AH20" s="4" t="s">
        <v>113</v>
      </c>
      <c r="AI20" s="4">
        <v>1.0001957864668525</v>
      </c>
      <c r="AJ20" s="4">
        <v>4.6513142235724968E-4</v>
      </c>
      <c r="AK20" s="4" t="s">
        <v>113</v>
      </c>
      <c r="AL20" s="4">
        <v>0.57216926456298689</v>
      </c>
      <c r="AM20" s="4">
        <v>0</v>
      </c>
      <c r="AN20" s="4" t="s">
        <v>99</v>
      </c>
      <c r="AO20" s="4" t="s">
        <v>102</v>
      </c>
      <c r="AP20" s="4" t="s">
        <v>15</v>
      </c>
      <c r="AQ20" s="4"/>
      <c r="AR20" s="10">
        <f t="shared" si="0"/>
        <v>12.713731526715311</v>
      </c>
      <c r="AS20" s="10">
        <f t="shared" si="1"/>
        <v>0.84887542336961219</v>
      </c>
      <c r="AT20" s="10">
        <f t="shared" si="2"/>
        <v>50.932525402176729</v>
      </c>
      <c r="AU20" s="10">
        <f t="shared" si="3"/>
        <v>9.145400667875947E-7</v>
      </c>
    </row>
    <row r="21" spans="1:47" ht="18" customHeight="1">
      <c r="A21" s="4" t="s">
        <v>20</v>
      </c>
      <c r="B21" s="4" t="s">
        <v>121</v>
      </c>
      <c r="C21" s="9" t="b">
        <v>1</v>
      </c>
      <c r="D21" s="9" t="b">
        <v>1</v>
      </c>
      <c r="E21" s="10">
        <v>0.4</v>
      </c>
      <c r="F21" s="10">
        <v>2.4</v>
      </c>
      <c r="G21" s="10">
        <v>1.0499999999999998</v>
      </c>
      <c r="H21" s="10">
        <v>1.0499822682086781</v>
      </c>
      <c r="I21" s="10">
        <v>-1.7731791321695667E-5</v>
      </c>
      <c r="J21" s="10">
        <v>5.2499999999999991E-2</v>
      </c>
      <c r="K21" s="10">
        <v>0.51219512195121952</v>
      </c>
      <c r="L21" s="10">
        <v>0.5121909025711513</v>
      </c>
      <c r="M21" s="10">
        <v>0.52086201578046265</v>
      </c>
      <c r="N21" s="10">
        <v>4.0121173948530195E-2</v>
      </c>
      <c r="O21" s="10">
        <v>1.3658775937231333</v>
      </c>
      <c r="P21" s="10">
        <v>1.3658697972771605</v>
      </c>
      <c r="Q21" s="10" t="s">
        <v>98</v>
      </c>
      <c r="R21" s="10">
        <v>0.74040280305084971</v>
      </c>
      <c r="S21" s="10">
        <v>0.7655397141106679</v>
      </c>
      <c r="T21" s="7">
        <v>2.523014028685719</v>
      </c>
      <c r="U21" s="7">
        <v>101.32500000000002</v>
      </c>
      <c r="V21" s="7">
        <v>178.52344515193633</v>
      </c>
      <c r="W21" s="7">
        <v>178.33912123496663</v>
      </c>
      <c r="X21" s="7">
        <v>178.33912123496668</v>
      </c>
      <c r="Y21" s="7">
        <v>171.32500000000002</v>
      </c>
      <c r="Z21" s="7">
        <v>171.32500051511525</v>
      </c>
      <c r="AA21" s="4">
        <v>0.99371734855307592</v>
      </c>
      <c r="AB21" s="4">
        <v>11369.96821916851</v>
      </c>
      <c r="AC21" s="4">
        <v>52.287126819671983</v>
      </c>
      <c r="AD21" s="4">
        <v>-1.0913735088529251</v>
      </c>
      <c r="AE21" s="4">
        <v>1.0545384302518528</v>
      </c>
      <c r="AF21" s="4">
        <v>5.3706554005832865E-7</v>
      </c>
      <c r="AG21" s="4">
        <v>3.2223932403499719E-5</v>
      </c>
      <c r="AH21" s="4" t="s">
        <v>113</v>
      </c>
      <c r="AI21" s="4">
        <v>1.0003479152287074</v>
      </c>
      <c r="AJ21" s="4">
        <v>6.1617340762232969E-4</v>
      </c>
      <c r="AK21" s="4" t="s">
        <v>113</v>
      </c>
      <c r="AL21" s="4">
        <v>0.5710726358708772</v>
      </c>
      <c r="AM21" s="4">
        <v>0</v>
      </c>
      <c r="AN21" s="4" t="s">
        <v>99</v>
      </c>
      <c r="AO21" s="4" t="s">
        <v>102</v>
      </c>
      <c r="AP21" s="4" t="s">
        <v>15</v>
      </c>
      <c r="AQ21" s="4"/>
      <c r="AR21" s="10">
        <f t="shared" si="0"/>
        <v>5.4538430251852787</v>
      </c>
      <c r="AS21" s="10">
        <f t="shared" si="1"/>
        <v>0.53706554005832863</v>
      </c>
      <c r="AT21" s="10">
        <f t="shared" si="2"/>
        <v>32.223932403499717</v>
      </c>
      <c r="AU21" s="10">
        <f t="shared" si="3"/>
        <v>5.1511523224689881E-7</v>
      </c>
    </row>
    <row r="22" spans="1:47" ht="18" customHeight="1">
      <c r="A22" s="4" t="s">
        <v>20</v>
      </c>
      <c r="B22" s="4" t="s">
        <v>122</v>
      </c>
      <c r="C22" s="9" t="b">
        <v>1</v>
      </c>
      <c r="D22" s="9" t="b">
        <v>1</v>
      </c>
      <c r="E22" s="10">
        <v>0.4</v>
      </c>
      <c r="F22" s="10">
        <v>2.4</v>
      </c>
      <c r="G22" s="10">
        <v>1.4</v>
      </c>
      <c r="H22" s="10">
        <v>1.3999543779954127</v>
      </c>
      <c r="I22" s="10">
        <v>-4.5622004587242415E-5</v>
      </c>
      <c r="J22" s="10">
        <v>6.9999999999999993E-2</v>
      </c>
      <c r="K22" s="10">
        <v>0.58333333333333337</v>
      </c>
      <c r="L22" s="10">
        <v>0.58332541269581806</v>
      </c>
      <c r="M22" s="10">
        <v>0.59333087032832876</v>
      </c>
      <c r="N22" s="10">
        <v>4.5693314316744615E-2</v>
      </c>
      <c r="O22" s="10">
        <v>1.0799520226875166</v>
      </c>
      <c r="P22" s="10">
        <v>1.0799319848539777</v>
      </c>
      <c r="Q22" s="10" t="s">
        <v>116</v>
      </c>
      <c r="R22" s="10">
        <v>0.7291136748341257</v>
      </c>
      <c r="S22" s="10">
        <v>0.88504804835384854</v>
      </c>
      <c r="T22" s="7">
        <v>2.2919480175548976</v>
      </c>
      <c r="U22" s="7">
        <v>101.32500000000003</v>
      </c>
      <c r="V22" s="7">
        <v>178.52174728286835</v>
      </c>
      <c r="W22" s="7">
        <v>178.33742337298676</v>
      </c>
      <c r="X22" s="7">
        <v>178.33742337298682</v>
      </c>
      <c r="Y22" s="7">
        <v>171.32500000000002</v>
      </c>
      <c r="Z22" s="7">
        <v>171.32500102270666</v>
      </c>
      <c r="AA22" s="4">
        <v>1.0093047022218777</v>
      </c>
      <c r="AB22" s="4">
        <v>8798.6391541590729</v>
      </c>
      <c r="AC22" s="4">
        <v>56.156202097975267</v>
      </c>
      <c r="AD22" s="4">
        <v>0.49051741676233007</v>
      </c>
      <c r="AE22" s="4">
        <v>0.97691144079228354</v>
      </c>
      <c r="AF22" s="4">
        <v>0</v>
      </c>
      <c r="AG22" s="4">
        <v>0</v>
      </c>
      <c r="AH22" s="4" t="s">
        <v>111</v>
      </c>
      <c r="AI22" s="4">
        <v>1.0004183074039834</v>
      </c>
      <c r="AJ22" s="4">
        <v>6.2517535570212569E-4</v>
      </c>
      <c r="AK22" s="4" t="s">
        <v>113</v>
      </c>
      <c r="AL22" s="4">
        <v>0.57065937543340983</v>
      </c>
      <c r="AM22" s="4">
        <v>0</v>
      </c>
      <c r="AN22" s="4" t="s">
        <v>99</v>
      </c>
      <c r="AO22" s="4" t="s">
        <v>102</v>
      </c>
      <c r="AP22" s="4" t="s">
        <v>24</v>
      </c>
      <c r="AQ22" s="4"/>
      <c r="AR22" s="10">
        <f t="shared" si="0"/>
        <v>0</v>
      </c>
      <c r="AS22" s="10">
        <f t="shared" si="1"/>
        <v>0</v>
      </c>
      <c r="AT22" s="10">
        <f t="shared" si="2"/>
        <v>0</v>
      </c>
      <c r="AU22" s="10">
        <f t="shared" si="3"/>
        <v>1.0227066411516716E-6</v>
      </c>
    </row>
    <row r="23" spans="1:47" ht="18" customHeight="1">
      <c r="A23" s="4" t="s">
        <v>20</v>
      </c>
      <c r="B23" s="4" t="s">
        <v>123</v>
      </c>
      <c r="C23" s="9" t="b">
        <v>1</v>
      </c>
      <c r="D23" s="9" t="b">
        <v>1</v>
      </c>
      <c r="E23" s="10">
        <v>1</v>
      </c>
      <c r="F23" s="10">
        <v>1.8</v>
      </c>
      <c r="G23" s="10">
        <v>0</v>
      </c>
      <c r="H23" s="10">
        <v>0</v>
      </c>
      <c r="I23" s="10">
        <v>0</v>
      </c>
      <c r="J23" s="10">
        <v>5.0000000000000001E-3</v>
      </c>
      <c r="K23" s="10">
        <v>0</v>
      </c>
      <c r="L23" s="10">
        <v>0</v>
      </c>
      <c r="M23" s="10">
        <v>0</v>
      </c>
      <c r="N23" s="10">
        <v>0</v>
      </c>
      <c r="O23" s="10">
        <v>1.7989362155590469</v>
      </c>
      <c r="P23" s="10">
        <v>1.7989362155590336</v>
      </c>
      <c r="Q23" s="10" t="s">
        <v>98</v>
      </c>
      <c r="R23" s="10">
        <v>0.70907335312208619</v>
      </c>
      <c r="S23" s="10">
        <v>9.9999999999999982E-8</v>
      </c>
      <c r="T23" s="7">
        <v>0</v>
      </c>
      <c r="U23" s="7">
        <v>101.32500000000002</v>
      </c>
      <c r="V23" s="7">
        <v>247.20534484139571</v>
      </c>
      <c r="W23" s="7">
        <v>246.55733732831868</v>
      </c>
      <c r="X23" s="7">
        <v>246.55733732831871</v>
      </c>
      <c r="Y23" s="7">
        <v>231.32499999999999</v>
      </c>
      <c r="Z23" s="7">
        <v>231.32499999999999</v>
      </c>
      <c r="AA23" s="4">
        <v>7.2346980500216762E-2</v>
      </c>
      <c r="AB23" s="4">
        <v>21278.249999999996</v>
      </c>
      <c r="AC23" s="4">
        <v>19.627693727286214</v>
      </c>
      <c r="AD23" s="4">
        <v>10.356732575436357</v>
      </c>
      <c r="AE23" s="4">
        <v>0.5116810031542075</v>
      </c>
      <c r="AF23" s="4">
        <v>0</v>
      </c>
      <c r="AG23" s="4">
        <v>0</v>
      </c>
      <c r="AH23" s="4" t="s">
        <v>99</v>
      </c>
      <c r="AI23" s="4">
        <v>1.0000399003636145</v>
      </c>
      <c r="AJ23" s="4">
        <v>4.7390176389457204E-4</v>
      </c>
      <c r="AK23" s="4" t="s">
        <v>113</v>
      </c>
      <c r="AL23" s="4">
        <v>0.50164480196510353</v>
      </c>
      <c r="AM23" s="4">
        <v>0</v>
      </c>
      <c r="AN23" s="4" t="s">
        <v>99</v>
      </c>
      <c r="AO23" s="4" t="s">
        <v>100</v>
      </c>
      <c r="AP23" s="4" t="s">
        <v>12</v>
      </c>
      <c r="AQ23" s="4"/>
      <c r="AR23" s="10">
        <f t="shared" si="0"/>
        <v>0</v>
      </c>
      <c r="AS23" s="10">
        <f t="shared" si="1"/>
        <v>0</v>
      </c>
      <c r="AT23" s="10">
        <f t="shared" si="2"/>
        <v>0</v>
      </c>
      <c r="AU23" s="10">
        <f t="shared" si="3"/>
        <v>0</v>
      </c>
    </row>
    <row r="24" spans="1:47" ht="18" customHeight="1">
      <c r="A24" s="4" t="s">
        <v>20</v>
      </c>
      <c r="B24" s="4" t="s">
        <v>124</v>
      </c>
      <c r="C24" s="9" t="b">
        <v>1</v>
      </c>
      <c r="D24" s="9" t="b">
        <v>1</v>
      </c>
      <c r="E24" s="10">
        <v>1</v>
      </c>
      <c r="F24" s="10">
        <v>1.8</v>
      </c>
      <c r="G24" s="10">
        <v>8.0000000000000016E-2</v>
      </c>
      <c r="H24" s="10">
        <v>7.9989047873918084E-2</v>
      </c>
      <c r="I24" s="10">
        <v>-1.0952126081931191E-5</v>
      </c>
      <c r="J24" s="10">
        <v>5.0000000000000001E-3</v>
      </c>
      <c r="K24" s="10">
        <v>7.4074074074074084E-2</v>
      </c>
      <c r="L24" s="10">
        <v>7.4064684295981925E-2</v>
      </c>
      <c r="M24" s="10">
        <v>7.3771913470062372E-2</v>
      </c>
      <c r="N24" s="10">
        <v>1.0878129408356909E-2</v>
      </c>
      <c r="O24" s="10">
        <v>1.7187199604151222</v>
      </c>
      <c r="P24" s="10">
        <v>1.7187153576936351</v>
      </c>
      <c r="Q24" s="10" t="s">
        <v>98</v>
      </c>
      <c r="R24" s="10">
        <v>0.70734296337798308</v>
      </c>
      <c r="S24" s="10">
        <v>0.16146632665354302</v>
      </c>
      <c r="T24" s="7">
        <v>5.641612566027816</v>
      </c>
      <c r="U24" s="7">
        <v>101.32500000000002</v>
      </c>
      <c r="V24" s="7">
        <v>247.18711679215372</v>
      </c>
      <c r="W24" s="7">
        <v>246.53910930683188</v>
      </c>
      <c r="X24" s="7">
        <v>246.53910930683196</v>
      </c>
      <c r="Y24" s="7">
        <v>231.32499999999999</v>
      </c>
      <c r="Z24" s="7">
        <v>231.32500239878053</v>
      </c>
      <c r="AA24" s="4">
        <v>0.17929905486939327</v>
      </c>
      <c r="AB24" s="4">
        <v>20178.125996682746</v>
      </c>
      <c r="AC24" s="4">
        <v>24.718366645576452</v>
      </c>
      <c r="AD24" s="4">
        <v>1.206582533401054</v>
      </c>
      <c r="AE24" s="4">
        <v>0.93014592601980517</v>
      </c>
      <c r="AF24" s="4">
        <v>0</v>
      </c>
      <c r="AG24" s="4">
        <v>0</v>
      </c>
      <c r="AH24" s="4" t="s">
        <v>111</v>
      </c>
      <c r="AI24" s="4">
        <v>1.0002670930049151</v>
      </c>
      <c r="AJ24" s="4">
        <v>6.0967951146890479E-4</v>
      </c>
      <c r="AK24" s="4" t="s">
        <v>113</v>
      </c>
      <c r="AL24" s="4">
        <v>0.44791338779009249</v>
      </c>
      <c r="AM24" s="4">
        <v>0</v>
      </c>
      <c r="AN24" s="4" t="s">
        <v>99</v>
      </c>
      <c r="AO24" s="4" t="s">
        <v>102</v>
      </c>
      <c r="AP24" s="4" t="s">
        <v>24</v>
      </c>
      <c r="AQ24" s="4"/>
      <c r="AR24" s="10">
        <f t="shared" si="0"/>
        <v>0</v>
      </c>
      <c r="AS24" s="10">
        <f t="shared" si="1"/>
        <v>0</v>
      </c>
      <c r="AT24" s="10">
        <f t="shared" si="2"/>
        <v>0</v>
      </c>
      <c r="AU24" s="10">
        <f t="shared" si="3"/>
        <v>2.3987805377601035E-6</v>
      </c>
    </row>
    <row r="25" spans="1:47" ht="18" customHeight="1">
      <c r="A25" s="4" t="s">
        <v>20</v>
      </c>
      <c r="B25" s="4" t="s">
        <v>125</v>
      </c>
      <c r="C25" s="9" t="b">
        <v>1</v>
      </c>
      <c r="D25" s="9" t="b">
        <v>1</v>
      </c>
      <c r="E25" s="10">
        <v>1</v>
      </c>
      <c r="F25" s="10">
        <v>1.8</v>
      </c>
      <c r="G25" s="10">
        <v>0.2</v>
      </c>
      <c r="H25" s="10">
        <v>0.19997126276271451</v>
      </c>
      <c r="I25" s="10">
        <v>-2.8737237285497708E-5</v>
      </c>
      <c r="J25" s="10">
        <v>1.0000000000000002E-2</v>
      </c>
      <c r="K25" s="10">
        <v>0.16666666666666669</v>
      </c>
      <c r="L25" s="10">
        <v>0.16664670977388005</v>
      </c>
      <c r="M25" s="10">
        <v>0.1662041979361584</v>
      </c>
      <c r="N25" s="10">
        <v>2.4475962347254902E-2</v>
      </c>
      <c r="O25" s="10">
        <v>1.598654873971322</v>
      </c>
      <c r="P25" s="10">
        <v>1.5986427031938577</v>
      </c>
      <c r="Q25" s="10" t="s">
        <v>98</v>
      </c>
      <c r="R25" s="10">
        <v>0.70468841698395002</v>
      </c>
      <c r="S25" s="10">
        <v>0.36151483642096671</v>
      </c>
      <c r="T25" s="7">
        <v>5.2591601565656614</v>
      </c>
      <c r="U25" s="7">
        <v>101.32500000000003</v>
      </c>
      <c r="V25" s="7">
        <v>247.16141806783821</v>
      </c>
      <c r="W25" s="7">
        <v>246.51341061848248</v>
      </c>
      <c r="X25" s="7">
        <v>246.51341061848254</v>
      </c>
      <c r="Y25" s="7">
        <v>231.32499999999999</v>
      </c>
      <c r="Z25" s="7">
        <v>231.32500623349964</v>
      </c>
      <c r="AA25" s="4">
        <v>0.33443511063624132</v>
      </c>
      <c r="AB25" s="4">
        <v>18563.832377661649</v>
      </c>
      <c r="AC25" s="4">
        <v>31.559769847048017</v>
      </c>
      <c r="AD25" s="4">
        <v>-2.7217921980351178</v>
      </c>
      <c r="AE25" s="4">
        <v>1.165195722377476</v>
      </c>
      <c r="AF25" s="4">
        <v>5.5694381526131277E-7</v>
      </c>
      <c r="AG25" s="4">
        <v>3.3416628915678765E-5</v>
      </c>
      <c r="AH25" s="4" t="s">
        <v>113</v>
      </c>
      <c r="AI25" s="4">
        <v>1.0006397076040585</v>
      </c>
      <c r="AJ25" s="4">
        <v>8.0131420760518458E-4</v>
      </c>
      <c r="AK25" s="4" t="s">
        <v>113</v>
      </c>
      <c r="AL25" s="4">
        <v>0.43822557845950416</v>
      </c>
      <c r="AM25" s="4">
        <v>0</v>
      </c>
      <c r="AN25" s="4" t="s">
        <v>99</v>
      </c>
      <c r="AO25" s="4" t="s">
        <v>102</v>
      </c>
      <c r="AP25" s="4" t="s">
        <v>15</v>
      </c>
      <c r="AQ25" s="4"/>
      <c r="AR25" s="10">
        <f t="shared" si="0"/>
        <v>16.519572237747603</v>
      </c>
      <c r="AS25" s="10">
        <f t="shared" si="1"/>
        <v>0.55694381526131276</v>
      </c>
      <c r="AT25" s="10">
        <f t="shared" si="2"/>
        <v>33.416628915678764</v>
      </c>
      <c r="AU25" s="10">
        <f t="shared" si="3"/>
        <v>6.2334996471236082E-6</v>
      </c>
    </row>
    <row r="26" spans="1:47" ht="18" customHeight="1">
      <c r="A26" s="4" t="s">
        <v>20</v>
      </c>
      <c r="B26" s="4" t="s">
        <v>126</v>
      </c>
      <c r="C26" s="9" t="b">
        <v>1</v>
      </c>
      <c r="D26" s="9" t="b">
        <v>1</v>
      </c>
      <c r="E26" s="10">
        <v>1</v>
      </c>
      <c r="F26" s="10">
        <v>1.8</v>
      </c>
      <c r="G26" s="10">
        <v>0.4</v>
      </c>
      <c r="H26" s="10">
        <v>0.39993326022200876</v>
      </c>
      <c r="I26" s="10">
        <v>-6.6739777991264848E-5</v>
      </c>
      <c r="J26" s="10">
        <v>2.0000000000000004E-2</v>
      </c>
      <c r="K26" s="10">
        <v>0.28571428571428575</v>
      </c>
      <c r="L26" s="10">
        <v>0.2856802331835564</v>
      </c>
      <c r="M26" s="10">
        <v>0.28548177323166396</v>
      </c>
      <c r="N26" s="10">
        <v>4.1958814224419744E-2</v>
      </c>
      <c r="O26" s="10">
        <v>1.3989120104473665</v>
      </c>
      <c r="P26" s="10">
        <v>1.3988836138541512</v>
      </c>
      <c r="Q26" s="10" t="s">
        <v>98</v>
      </c>
      <c r="R26" s="10">
        <v>0.69963807878923323</v>
      </c>
      <c r="S26" s="10">
        <v>0.61751761282953344</v>
      </c>
      <c r="T26" s="7">
        <v>4.7651499232957963</v>
      </c>
      <c r="U26" s="7">
        <v>101.32500000000002</v>
      </c>
      <c r="V26" s="7">
        <v>247.12245712693144</v>
      </c>
      <c r="W26" s="7">
        <v>246.47444973211356</v>
      </c>
      <c r="X26" s="7">
        <v>246.4744497321137</v>
      </c>
      <c r="Y26" s="7">
        <v>231.32499999999999</v>
      </c>
      <c r="Z26" s="7">
        <v>231.32501340926987</v>
      </c>
      <c r="AA26" s="4">
        <v>0.58061316864738799</v>
      </c>
      <c r="AB26" s="4">
        <v>15959.068212484561</v>
      </c>
      <c r="AC26" s="4">
        <v>41.190064750153851</v>
      </c>
      <c r="AD26" s="4">
        <v>-3.3974775498062968</v>
      </c>
      <c r="AE26" s="4">
        <v>1.1941517746453305</v>
      </c>
      <c r="AF26" s="4">
        <v>1.0866601708148652E-6</v>
      </c>
      <c r="AG26" s="4">
        <v>6.5199610248891916E-5</v>
      </c>
      <c r="AH26" s="4" t="s">
        <v>113</v>
      </c>
      <c r="AI26" s="4">
        <v>1.000642412152777</v>
      </c>
      <c r="AJ26" s="4">
        <v>1.0967650826913902E-3</v>
      </c>
      <c r="AK26" s="4" t="s">
        <v>113</v>
      </c>
      <c r="AL26" s="4">
        <v>0.42867992532937271</v>
      </c>
      <c r="AM26" s="4">
        <v>0</v>
      </c>
      <c r="AN26" s="4" t="s">
        <v>99</v>
      </c>
      <c r="AO26" s="4" t="s">
        <v>102</v>
      </c>
      <c r="AP26" s="4" t="s">
        <v>15</v>
      </c>
      <c r="AQ26" s="4"/>
      <c r="AR26" s="10">
        <f t="shared" si="0"/>
        <v>19.415177464533052</v>
      </c>
      <c r="AS26" s="10">
        <f t="shared" si="1"/>
        <v>1.0866601708148653</v>
      </c>
      <c r="AT26" s="10">
        <f t="shared" si="2"/>
        <v>65.199610248891915</v>
      </c>
      <c r="AU26" s="10">
        <f t="shared" si="3"/>
        <v>1.3409269882913577E-5</v>
      </c>
    </row>
    <row r="27" spans="1:47" ht="18" customHeight="1">
      <c r="A27" s="4" t="s">
        <v>20</v>
      </c>
      <c r="B27" s="4" t="s">
        <v>127</v>
      </c>
      <c r="C27" s="9" t="b">
        <v>1</v>
      </c>
      <c r="D27" s="9" t="b">
        <v>1</v>
      </c>
      <c r="E27" s="10">
        <v>1</v>
      </c>
      <c r="F27" s="10">
        <v>1.8</v>
      </c>
      <c r="G27" s="10">
        <v>0.60000000000000009</v>
      </c>
      <c r="H27" s="10">
        <v>0.59987634443103144</v>
      </c>
      <c r="I27" s="10">
        <v>-1.2365556896865026E-4</v>
      </c>
      <c r="J27" s="10">
        <v>3.0000000000000006E-2</v>
      </c>
      <c r="K27" s="10">
        <v>0.37500000000000006</v>
      </c>
      <c r="L27" s="10">
        <v>0.37495169330945272</v>
      </c>
      <c r="M27" s="10">
        <v>0.37537072472683192</v>
      </c>
      <c r="N27" s="10">
        <v>5.5070410516867306E-2</v>
      </c>
      <c r="O27" s="10">
        <v>1.1992141846326023</v>
      </c>
      <c r="P27" s="10">
        <v>1.1991617018875915</v>
      </c>
      <c r="Q27" s="10" t="s">
        <v>116</v>
      </c>
      <c r="R27" s="10">
        <v>0.69266531005466991</v>
      </c>
      <c r="S27" s="10">
        <v>0.81067580191669386</v>
      </c>
      <c r="T27" s="7">
        <v>4.3874757537326321</v>
      </c>
      <c r="U27" s="7">
        <v>101.32500000000002</v>
      </c>
      <c r="V27" s="7">
        <v>247.0868312135168</v>
      </c>
      <c r="W27" s="7">
        <v>246.43882387840134</v>
      </c>
      <c r="X27" s="7">
        <v>246.43882387840139</v>
      </c>
      <c r="Y27" s="7">
        <v>231.32499999999999</v>
      </c>
      <c r="Z27" s="7">
        <v>231.32502383613584</v>
      </c>
      <c r="AA27" s="4">
        <v>0.81328719821642048</v>
      </c>
      <c r="AB27" s="4">
        <v>13448.565247406699</v>
      </c>
      <c r="AC27" s="4">
        <v>49.104006436704651</v>
      </c>
      <c r="AD27" s="4">
        <v>-2.1808146299812279</v>
      </c>
      <c r="AE27" s="4">
        <v>1.1141615764180077</v>
      </c>
      <c r="AF27" s="4">
        <v>9.5110897665403187E-7</v>
      </c>
      <c r="AG27" s="4">
        <v>5.7066538599241912E-5</v>
      </c>
      <c r="AH27" s="4" t="s">
        <v>113</v>
      </c>
      <c r="AI27" s="4">
        <v>1.0007201592547554</v>
      </c>
      <c r="AJ27" s="4">
        <v>1.3671108472578504E-3</v>
      </c>
      <c r="AK27" s="4" t="s">
        <v>113</v>
      </c>
      <c r="AL27" s="4">
        <v>0.42361248150511405</v>
      </c>
      <c r="AM27" s="4">
        <v>0</v>
      </c>
      <c r="AN27" s="4" t="s">
        <v>99</v>
      </c>
      <c r="AO27" s="4" t="s">
        <v>102</v>
      </c>
      <c r="AP27" s="4" t="s">
        <v>15</v>
      </c>
      <c r="AQ27" s="4"/>
      <c r="AR27" s="10">
        <f t="shared" si="0"/>
        <v>11.416157641800773</v>
      </c>
      <c r="AS27" s="10">
        <f t="shared" si="1"/>
        <v>0.95110897665403182</v>
      </c>
      <c r="AT27" s="10">
        <f t="shared" si="2"/>
        <v>57.066538599241909</v>
      </c>
      <c r="AU27" s="10">
        <f t="shared" si="3"/>
        <v>2.3836135852661755E-5</v>
      </c>
    </row>
    <row r="28" spans="1:47" ht="18" customHeight="1">
      <c r="A28" s="4" t="s">
        <v>20</v>
      </c>
      <c r="B28" s="4" t="s">
        <v>128</v>
      </c>
      <c r="C28" s="9" t="b">
        <v>1</v>
      </c>
      <c r="D28" s="9" t="b">
        <v>1</v>
      </c>
      <c r="E28" s="10">
        <v>1</v>
      </c>
      <c r="F28" s="10">
        <v>1.8</v>
      </c>
      <c r="G28" s="10">
        <v>0.8</v>
      </c>
      <c r="H28" s="10">
        <v>0.79982881251759397</v>
      </c>
      <c r="I28" s="10">
        <v>-1.7118748240607662E-4</v>
      </c>
      <c r="J28" s="10">
        <v>4.0000000000000008E-2</v>
      </c>
      <c r="K28" s="10">
        <v>0.44444444444444448</v>
      </c>
      <c r="L28" s="10">
        <v>0.44439160377479242</v>
      </c>
      <c r="M28" s="10">
        <v>0.44547705424065054</v>
      </c>
      <c r="N28" s="10">
        <v>6.5269269108552672E-2</v>
      </c>
      <c r="O28" s="10">
        <v>1.009718376924702</v>
      </c>
      <c r="P28" s="10">
        <v>1.0096602848025185</v>
      </c>
      <c r="Q28" s="10" t="s">
        <v>116</v>
      </c>
      <c r="R28" s="10">
        <v>0.66854682250008357</v>
      </c>
      <c r="S28" s="10">
        <v>0.96210166691332411</v>
      </c>
      <c r="T28" s="7">
        <v>4.0818230112927045</v>
      </c>
      <c r="U28" s="7">
        <v>101.32500000000002</v>
      </c>
      <c r="V28" s="7">
        <v>247.06073174448881</v>
      </c>
      <c r="W28" s="7">
        <v>246.41272467822867</v>
      </c>
      <c r="X28" s="7">
        <v>246.41272467822876</v>
      </c>
      <c r="Y28" s="7">
        <v>231.32499999999999</v>
      </c>
      <c r="Z28" s="7">
        <v>231.32500670899211</v>
      </c>
      <c r="AA28" s="4">
        <v>0.98510925845442965</v>
      </c>
      <c r="AB28" s="4">
        <v>11117.878905255659</v>
      </c>
      <c r="AC28" s="4">
        <v>55.298305996615454</v>
      </c>
      <c r="AD28" s="4">
        <v>-0.48080667297024604</v>
      </c>
      <c r="AE28" s="4">
        <v>1.0232270785994553</v>
      </c>
      <c r="AF28" s="4">
        <v>2.612215038831074E-7</v>
      </c>
      <c r="AG28" s="4">
        <v>1.5673290232986445E-5</v>
      </c>
      <c r="AH28" s="4" t="s">
        <v>113</v>
      </c>
      <c r="AI28" s="4">
        <v>1.0008382306760681</v>
      </c>
      <c r="AJ28" s="4">
        <v>1.5625757155997633E-3</v>
      </c>
      <c r="AK28" s="4" t="s">
        <v>113</v>
      </c>
      <c r="AL28" s="4">
        <v>0.42079920403965926</v>
      </c>
      <c r="AM28" s="4">
        <v>0</v>
      </c>
      <c r="AN28" s="4" t="s">
        <v>99</v>
      </c>
      <c r="AO28" s="4" t="s">
        <v>102</v>
      </c>
      <c r="AP28" s="4" t="s">
        <v>15</v>
      </c>
      <c r="AQ28" s="4"/>
      <c r="AR28" s="10">
        <f t="shared" si="0"/>
        <v>2.3227078599455275</v>
      </c>
      <c r="AS28" s="10">
        <f t="shared" si="1"/>
        <v>0.26122150388310739</v>
      </c>
      <c r="AT28" s="10">
        <f t="shared" si="2"/>
        <v>15.673290232986444</v>
      </c>
      <c r="AU28" s="10">
        <f t="shared" si="3"/>
        <v>6.7089921174101619E-6</v>
      </c>
    </row>
    <row r="29" spans="1:47" ht="18" customHeight="1">
      <c r="A29" s="4" t="s">
        <v>23</v>
      </c>
      <c r="B29" s="4" t="s">
        <v>129</v>
      </c>
      <c r="C29" s="9" t="b">
        <v>1</v>
      </c>
      <c r="D29" s="9" t="b">
        <v>1</v>
      </c>
      <c r="E29" s="10">
        <v>0.1</v>
      </c>
      <c r="F29" s="10">
        <v>5</v>
      </c>
      <c r="G29" s="10">
        <v>0</v>
      </c>
      <c r="H29" s="10">
        <v>0</v>
      </c>
      <c r="I29" s="10">
        <v>0</v>
      </c>
      <c r="J29" s="10">
        <v>5.0000000000000001E-3</v>
      </c>
      <c r="K29" s="10">
        <v>0</v>
      </c>
      <c r="L29" s="10">
        <v>0</v>
      </c>
      <c r="M29" s="10">
        <v>0</v>
      </c>
      <c r="N29" s="10">
        <v>0</v>
      </c>
      <c r="O29" s="10">
        <v>4.9970450432162981</v>
      </c>
      <c r="P29" s="10">
        <v>4.9970450432162892</v>
      </c>
      <c r="Q29" s="10" t="s">
        <v>98</v>
      </c>
      <c r="R29" s="10">
        <v>0.79916690600531293</v>
      </c>
      <c r="S29" s="10">
        <v>9.9999999999999982E-8</v>
      </c>
      <c r="T29" s="7">
        <v>0</v>
      </c>
      <c r="U29" s="7">
        <v>101.32500000000002</v>
      </c>
      <c r="V29" s="7">
        <v>144.89779018385204</v>
      </c>
      <c r="W29" s="7">
        <v>144.84778729710274</v>
      </c>
      <c r="X29" s="7">
        <v>144.84778729710274</v>
      </c>
      <c r="Y29" s="7">
        <v>141.32500000000002</v>
      </c>
      <c r="Z29" s="7">
        <v>141.32500000000007</v>
      </c>
      <c r="AA29" s="4">
        <v>8.3437751893507286E-2</v>
      </c>
      <c r="AB29" s="4">
        <v>21278.250000000004</v>
      </c>
      <c r="AC29" s="4">
        <v>19.971192082593404</v>
      </c>
      <c r="AD29" s="4">
        <v>10.700230930743544</v>
      </c>
      <c r="AE29" s="4">
        <v>0.50089305701645148</v>
      </c>
      <c r="AF29" s="4">
        <v>0</v>
      </c>
      <c r="AG29" s="4">
        <v>0</v>
      </c>
      <c r="AH29" s="4" t="s">
        <v>99</v>
      </c>
      <c r="AI29" s="4">
        <v>0.51936940645779683</v>
      </c>
      <c r="AJ29" s="4">
        <v>0</v>
      </c>
      <c r="AK29" s="4" t="s">
        <v>99</v>
      </c>
      <c r="AL29" s="4">
        <v>0.50012720203505767</v>
      </c>
      <c r="AM29" s="4">
        <v>0</v>
      </c>
      <c r="AN29" s="4" t="s">
        <v>99</v>
      </c>
      <c r="AO29" s="4" t="s">
        <v>100</v>
      </c>
      <c r="AP29" s="4" t="s">
        <v>12</v>
      </c>
      <c r="AQ29" s="4"/>
      <c r="AR29" s="10">
        <f t="shared" si="0"/>
        <v>0</v>
      </c>
      <c r="AS29" s="10">
        <f t="shared" si="1"/>
        <v>0</v>
      </c>
      <c r="AT29" s="10">
        <f t="shared" si="2"/>
        <v>0</v>
      </c>
      <c r="AU29" s="10">
        <f t="shared" si="3"/>
        <v>0</v>
      </c>
    </row>
    <row r="30" spans="1:47" ht="18" customHeight="1">
      <c r="A30" s="4" t="s">
        <v>23</v>
      </c>
      <c r="B30" s="4" t="s">
        <v>130</v>
      </c>
      <c r="C30" s="9" t="b">
        <v>1</v>
      </c>
      <c r="D30" s="9" t="b">
        <v>1</v>
      </c>
      <c r="E30" s="10">
        <v>0.1</v>
      </c>
      <c r="F30" s="10">
        <v>5</v>
      </c>
      <c r="G30" s="10">
        <v>0.1</v>
      </c>
      <c r="H30" s="10">
        <v>9.9999994721979193E-2</v>
      </c>
      <c r="I30" s="10">
        <v>-5.2780208120717376E-9</v>
      </c>
      <c r="J30" s="10">
        <v>5.000000000000001E-3</v>
      </c>
      <c r="K30" s="10">
        <v>9.0909090909090912E-2</v>
      </c>
      <c r="L30" s="10">
        <v>9.0909086547090207E-2</v>
      </c>
      <c r="M30" s="10">
        <v>9.1981832878750572E-2</v>
      </c>
      <c r="N30" s="10">
        <v>4.0798155654529081E-3</v>
      </c>
      <c r="O30" s="10">
        <v>5.4019439055327663</v>
      </c>
      <c r="P30" s="10">
        <v>5.401943867239881</v>
      </c>
      <c r="Q30" s="10" t="s">
        <v>98</v>
      </c>
      <c r="R30" s="10">
        <v>0.79918687578843317</v>
      </c>
      <c r="S30" s="10">
        <v>8.5959381296820264E-2</v>
      </c>
      <c r="T30" s="7">
        <v>2.5637809939809575</v>
      </c>
      <c r="U30" s="7">
        <v>101.32500000000002</v>
      </c>
      <c r="V30" s="7">
        <v>145.27791772902518</v>
      </c>
      <c r="W30" s="7">
        <v>145.21741476162492</v>
      </c>
      <c r="X30" s="7">
        <v>145.21741476162495</v>
      </c>
      <c r="Y30" s="7">
        <v>141.32500000000002</v>
      </c>
      <c r="Z30" s="7">
        <v>141.32499971144927</v>
      </c>
      <c r="AA30" s="4">
        <v>0.12483720174795647</v>
      </c>
      <c r="AB30" s="4">
        <v>20857.992648240299</v>
      </c>
      <c r="AC30" s="4">
        <v>23.745031954970045</v>
      </c>
      <c r="AD30" s="4">
        <v>8.3736713898523547</v>
      </c>
      <c r="AE30" s="4">
        <v>0.5941920448833119</v>
      </c>
      <c r="AF30" s="4">
        <v>0</v>
      </c>
      <c r="AG30" s="4">
        <v>0</v>
      </c>
      <c r="AH30" s="4" t="s">
        <v>99</v>
      </c>
      <c r="AI30" s="4">
        <v>0.52032748088434666</v>
      </c>
      <c r="AJ30" s="4">
        <v>0</v>
      </c>
      <c r="AK30" s="4" t="s">
        <v>99</v>
      </c>
      <c r="AL30" s="4">
        <v>0.36582390967536366</v>
      </c>
      <c r="AM30" s="4">
        <v>0</v>
      </c>
      <c r="AN30" s="4" t="s">
        <v>99</v>
      </c>
      <c r="AO30" s="4" t="s">
        <v>102</v>
      </c>
      <c r="AP30" s="4" t="s">
        <v>12</v>
      </c>
      <c r="AQ30" s="4"/>
      <c r="AR30" s="10">
        <f t="shared" si="0"/>
        <v>0</v>
      </c>
      <c r="AS30" s="10">
        <f t="shared" si="1"/>
        <v>0</v>
      </c>
      <c r="AT30" s="10">
        <f t="shared" si="2"/>
        <v>0</v>
      </c>
      <c r="AU30" s="10">
        <f t="shared" si="3"/>
        <v>-2.8855075129285979E-7</v>
      </c>
    </row>
    <row r="31" spans="1:47" ht="18" customHeight="1">
      <c r="A31" s="4" t="s">
        <v>23</v>
      </c>
      <c r="B31" s="4" t="s">
        <v>131</v>
      </c>
      <c r="C31" s="9" t="b">
        <v>1</v>
      </c>
      <c r="D31" s="9" t="b">
        <v>1</v>
      </c>
      <c r="E31" s="10">
        <v>0.1</v>
      </c>
      <c r="F31" s="10">
        <v>5</v>
      </c>
      <c r="G31" s="10">
        <v>0.5</v>
      </c>
      <c r="H31" s="10">
        <v>0.49999570645922792</v>
      </c>
      <c r="I31" s="10">
        <v>-4.2935407720823271E-6</v>
      </c>
      <c r="J31" s="10">
        <v>2.5000000000000001E-2</v>
      </c>
      <c r="K31" s="10">
        <v>0.33333333333333331</v>
      </c>
      <c r="L31" s="10">
        <v>0.33333142508674085</v>
      </c>
      <c r="M31" s="10">
        <v>0.33625421525936622</v>
      </c>
      <c r="N31" s="10">
        <v>2.0398901720664511E-2</v>
      </c>
      <c r="O31" s="10">
        <v>7.0219511654269988</v>
      </c>
      <c r="P31" s="10">
        <v>7.0219368720982578</v>
      </c>
      <c r="Q31" s="10" t="s">
        <v>98</v>
      </c>
      <c r="R31" s="10">
        <v>0.79923855512223607</v>
      </c>
      <c r="S31" s="10">
        <v>0.39773877598898782</v>
      </c>
      <c r="T31" s="7">
        <v>2.5580043921543294</v>
      </c>
      <c r="U31" s="7">
        <v>101.32500000000002</v>
      </c>
      <c r="V31" s="7">
        <v>146.848716812867</v>
      </c>
      <c r="W31" s="7">
        <v>146.73621410890578</v>
      </c>
      <c r="X31" s="7">
        <v>146.73621410890584</v>
      </c>
      <c r="Y31" s="7">
        <v>141.32500000000002</v>
      </c>
      <c r="Z31" s="7">
        <v>141.32500996591398</v>
      </c>
      <c r="AA31" s="4">
        <v>0.23471884736056553</v>
      </c>
      <c r="AB31" s="4">
        <v>19748.731580191477</v>
      </c>
      <c r="AC31" s="4">
        <v>33.67629119437197</v>
      </c>
      <c r="AD31" s="4">
        <v>8.1805428359892431</v>
      </c>
      <c r="AE31" s="4">
        <v>0.62426078829122955</v>
      </c>
      <c r="AF31" s="4">
        <v>0</v>
      </c>
      <c r="AG31" s="4">
        <v>0</v>
      </c>
      <c r="AH31" s="4" t="s">
        <v>99</v>
      </c>
      <c r="AI31" s="4">
        <v>0.52356452133776388</v>
      </c>
      <c r="AJ31" s="4">
        <v>0</v>
      </c>
      <c r="AK31" s="4" t="s">
        <v>99</v>
      </c>
      <c r="AL31" s="4">
        <v>0.36362808075079145</v>
      </c>
      <c r="AM31" s="4">
        <v>0</v>
      </c>
      <c r="AN31" s="4" t="s">
        <v>99</v>
      </c>
      <c r="AO31" s="4" t="s">
        <v>102</v>
      </c>
      <c r="AP31" s="4" t="s">
        <v>12</v>
      </c>
      <c r="AQ31" s="4"/>
      <c r="AR31" s="10">
        <f t="shared" si="0"/>
        <v>0</v>
      </c>
      <c r="AS31" s="10">
        <f t="shared" si="1"/>
        <v>0</v>
      </c>
      <c r="AT31" s="10">
        <f t="shared" si="2"/>
        <v>0</v>
      </c>
      <c r="AU31" s="10">
        <f t="shared" si="3"/>
        <v>9.9659139607410907E-6</v>
      </c>
    </row>
    <row r="32" spans="1:47" ht="18" customHeight="1">
      <c r="A32" s="4" t="s">
        <v>23</v>
      </c>
      <c r="B32" s="4" t="s">
        <v>132</v>
      </c>
      <c r="C32" s="9" t="b">
        <v>1</v>
      </c>
      <c r="D32" s="9" t="b">
        <v>1</v>
      </c>
      <c r="E32" s="10">
        <v>0.1</v>
      </c>
      <c r="F32" s="10">
        <v>5</v>
      </c>
      <c r="G32" s="10">
        <v>1</v>
      </c>
      <c r="H32" s="10">
        <v>0.99971036362311638</v>
      </c>
      <c r="I32" s="10">
        <v>-2.8963637688361743E-4</v>
      </c>
      <c r="J32" s="10">
        <v>0.05</v>
      </c>
      <c r="K32" s="10">
        <v>0.5</v>
      </c>
      <c r="L32" s="10">
        <v>0.49992757969228713</v>
      </c>
      <c r="M32" s="10">
        <v>0.5032676846423636</v>
      </c>
      <c r="N32" s="10">
        <v>4.0786152799134175E-2</v>
      </c>
      <c r="O32" s="10">
        <v>9.0465895168799531</v>
      </c>
      <c r="P32" s="10">
        <v>9.0459630401946125</v>
      </c>
      <c r="Q32" s="10" t="s">
        <v>98</v>
      </c>
      <c r="R32" s="10">
        <v>0.79926122648771192</v>
      </c>
      <c r="S32" s="10">
        <v>0.72837687886444658</v>
      </c>
      <c r="T32" s="7">
        <v>2.5475375038038472</v>
      </c>
      <c r="U32" s="7">
        <v>101.32500000000002</v>
      </c>
      <c r="V32" s="7">
        <v>148.94701033668494</v>
      </c>
      <c r="W32" s="7">
        <v>148.7470660598768</v>
      </c>
      <c r="X32" s="7">
        <v>148.7470660598768</v>
      </c>
      <c r="Y32" s="7">
        <v>141.32500000000002</v>
      </c>
      <c r="Z32" s="7">
        <v>141.32544879983777</v>
      </c>
      <c r="AA32" s="4">
        <v>0.31022713687483311</v>
      </c>
      <c r="AB32" s="4">
        <v>18997.606767983892</v>
      </c>
      <c r="AC32" s="4">
        <v>40.420481339904597</v>
      </c>
      <c r="AD32" s="4">
        <v>10.260393750951216</v>
      </c>
      <c r="AE32" s="4">
        <v>0.56749063275397349</v>
      </c>
      <c r="AF32" s="4">
        <v>0</v>
      </c>
      <c r="AG32" s="4">
        <v>0</v>
      </c>
      <c r="AH32" s="4" t="s">
        <v>99</v>
      </c>
      <c r="AI32" s="4">
        <v>0.52678584202707335</v>
      </c>
      <c r="AJ32" s="4">
        <v>0</v>
      </c>
      <c r="AK32" s="4" t="s">
        <v>99</v>
      </c>
      <c r="AL32" s="4">
        <v>0.36076218804558469</v>
      </c>
      <c r="AM32" s="4">
        <v>0</v>
      </c>
      <c r="AN32" s="4" t="s">
        <v>99</v>
      </c>
      <c r="AO32" s="4" t="s">
        <v>102</v>
      </c>
      <c r="AP32" s="4" t="s">
        <v>12</v>
      </c>
      <c r="AQ32" s="4"/>
      <c r="AR32" s="10">
        <f t="shared" si="0"/>
        <v>0</v>
      </c>
      <c r="AS32" s="10">
        <f t="shared" si="1"/>
        <v>0</v>
      </c>
      <c r="AT32" s="10">
        <f t="shared" si="2"/>
        <v>0</v>
      </c>
      <c r="AU32" s="10">
        <f t="shared" si="3"/>
        <v>4.4879983775558685E-4</v>
      </c>
    </row>
    <row r="33" spans="1:47" ht="18" customHeight="1">
      <c r="A33" s="4" t="s">
        <v>23</v>
      </c>
      <c r="B33" s="4" t="s">
        <v>133</v>
      </c>
      <c r="C33" s="9" t="b">
        <v>1</v>
      </c>
      <c r="D33" s="9" t="b">
        <v>0</v>
      </c>
      <c r="E33" s="10">
        <v>0.1</v>
      </c>
      <c r="F33" s="10">
        <v>5</v>
      </c>
      <c r="G33" s="10">
        <v>2</v>
      </c>
      <c r="H33" s="10">
        <v>1.4822781525972153</v>
      </c>
      <c r="I33" s="10">
        <v>-0.51772184740278471</v>
      </c>
      <c r="J33" s="10">
        <v>0.1</v>
      </c>
      <c r="K33" s="10">
        <v>0.66666666666666663</v>
      </c>
      <c r="L33" s="10">
        <v>0.59714426082600902</v>
      </c>
      <c r="M33" s="10">
        <v>0.60039924985648196</v>
      </c>
      <c r="N33" s="10">
        <v>6.0474217989703323E-2</v>
      </c>
      <c r="O33" s="10">
        <v>11.002596444158327</v>
      </c>
      <c r="P33" s="10">
        <v>11.002596444158321</v>
      </c>
      <c r="Q33" s="10" t="s">
        <v>98</v>
      </c>
      <c r="R33" s="10">
        <v>0.79925582131026485</v>
      </c>
      <c r="S33" s="10">
        <v>1</v>
      </c>
      <c r="T33" s="7">
        <v>2.5343079499494778</v>
      </c>
      <c r="U33" s="7">
        <v>101.32500000000002</v>
      </c>
      <c r="V33" s="7">
        <v>151.14533385939694</v>
      </c>
      <c r="W33" s="7">
        <v>150.83724373464395</v>
      </c>
      <c r="X33" s="7">
        <v>150.83724373464398</v>
      </c>
      <c r="Y33" s="7">
        <v>141.32500000000002</v>
      </c>
      <c r="Z33" s="7">
        <v>141.32500000000007</v>
      </c>
      <c r="AA33" s="4">
        <v>0.35466980745630855</v>
      </c>
      <c r="AB33" s="4">
        <v>18565.537790190287</v>
      </c>
      <c r="AC33" s="4">
        <v>44.366094628429892</v>
      </c>
      <c r="AD33" s="4">
        <v>11.953579560003917</v>
      </c>
      <c r="AE33" s="4">
        <v>0.5245303524665923</v>
      </c>
      <c r="AF33" s="4">
        <v>0</v>
      </c>
      <c r="AG33" s="4">
        <v>0</v>
      </c>
      <c r="AH33" s="4" t="s">
        <v>99</v>
      </c>
      <c r="AI33" s="4">
        <v>0.5294267072171901</v>
      </c>
      <c r="AJ33" s="4">
        <v>0</v>
      </c>
      <c r="AK33" s="4" t="s">
        <v>99</v>
      </c>
      <c r="AL33" s="4">
        <v>0.35790403318168473</v>
      </c>
      <c r="AM33" s="4">
        <v>0</v>
      </c>
      <c r="AN33" s="4" t="s">
        <v>99</v>
      </c>
      <c r="AO33" s="4" t="s">
        <v>134</v>
      </c>
      <c r="AP33" s="4" t="s">
        <v>21</v>
      </c>
      <c r="AQ33" s="4"/>
      <c r="AR33" s="10">
        <f t="shared" si="0"/>
        <v>0</v>
      </c>
      <c r="AS33" s="10">
        <f t="shared" si="1"/>
        <v>0</v>
      </c>
      <c r="AT33" s="10">
        <f t="shared" si="2"/>
        <v>0</v>
      </c>
      <c r="AU33" s="10">
        <f t="shared" si="3"/>
        <v>0</v>
      </c>
    </row>
    <row r="34" spans="1:47" ht="18" customHeight="1">
      <c r="A34" s="4" t="s">
        <v>23</v>
      </c>
      <c r="B34" s="4" t="s">
        <v>135</v>
      </c>
      <c r="C34" s="9" t="b">
        <v>1</v>
      </c>
      <c r="D34" s="9" t="b">
        <v>0</v>
      </c>
      <c r="E34" s="10">
        <v>0.1</v>
      </c>
      <c r="F34" s="10">
        <v>5</v>
      </c>
      <c r="G34" s="10">
        <v>4</v>
      </c>
      <c r="H34" s="10">
        <v>1.4822809833206079</v>
      </c>
      <c r="I34" s="10">
        <v>-2.5177190166793921</v>
      </c>
      <c r="J34" s="10">
        <v>0.2</v>
      </c>
      <c r="K34" s="10">
        <v>0.8</v>
      </c>
      <c r="L34" s="10">
        <v>0.59714472023135923</v>
      </c>
      <c r="M34" s="10">
        <v>0.60040011125489046</v>
      </c>
      <c r="N34" s="10">
        <v>6.0474333478003024E-2</v>
      </c>
      <c r="O34" s="10">
        <v>11.002618006278086</v>
      </c>
      <c r="P34" s="10">
        <v>11.00261800627808</v>
      </c>
      <c r="Q34" s="10" t="s">
        <v>98</v>
      </c>
      <c r="R34" s="10">
        <v>0.79925710520475812</v>
      </c>
      <c r="S34" s="10">
        <v>1</v>
      </c>
      <c r="T34" s="7">
        <v>2.5343008798545772</v>
      </c>
      <c r="U34" s="7">
        <v>101.32500000000002</v>
      </c>
      <c r="V34" s="7">
        <v>151.1453398455929</v>
      </c>
      <c r="W34" s="7">
        <v>150.83724901816976</v>
      </c>
      <c r="X34" s="7">
        <v>150.83724901816976</v>
      </c>
      <c r="Y34" s="7">
        <v>141.32500000000002</v>
      </c>
      <c r="Z34" s="7">
        <v>141.32500000000005</v>
      </c>
      <c r="AA34" s="4">
        <v>0.35469230250152101</v>
      </c>
      <c r="AB34" s="4">
        <v>18564.714597409078</v>
      </c>
      <c r="AC34" s="4">
        <v>44.351792683800113</v>
      </c>
      <c r="AD34" s="4">
        <v>11.940617435242089</v>
      </c>
      <c r="AE34" s="4">
        <v>0.52487848519315561</v>
      </c>
      <c r="AF34" s="4">
        <v>0</v>
      </c>
      <c r="AG34" s="4">
        <v>0</v>
      </c>
      <c r="AH34" s="4" t="s">
        <v>99</v>
      </c>
      <c r="AI34" s="4">
        <v>0.52945498765708787</v>
      </c>
      <c r="AJ34" s="4">
        <v>0</v>
      </c>
      <c r="AK34" s="4" t="s">
        <v>99</v>
      </c>
      <c r="AL34" s="4">
        <v>0.35789837992219847</v>
      </c>
      <c r="AM34" s="4">
        <v>0</v>
      </c>
      <c r="AN34" s="4" t="s">
        <v>99</v>
      </c>
      <c r="AO34" s="4" t="s">
        <v>134</v>
      </c>
      <c r="AP34" s="4" t="s">
        <v>21</v>
      </c>
      <c r="AQ34" s="4"/>
      <c r="AR34" s="10">
        <f t="shared" si="0"/>
        <v>0</v>
      </c>
      <c r="AS34" s="10">
        <f t="shared" si="1"/>
        <v>0</v>
      </c>
      <c r="AT34" s="10">
        <f t="shared" si="2"/>
        <v>0</v>
      </c>
      <c r="AU34" s="10">
        <f t="shared" si="3"/>
        <v>0</v>
      </c>
    </row>
    <row r="35" spans="1:47" ht="18" customHeight="1">
      <c r="A35" s="4" t="s">
        <v>23</v>
      </c>
      <c r="B35" s="4" t="s">
        <v>136</v>
      </c>
      <c r="C35" s="9" t="b">
        <v>1</v>
      </c>
      <c r="D35" s="9" t="b">
        <v>0</v>
      </c>
      <c r="E35" s="10">
        <v>0.1</v>
      </c>
      <c r="F35" s="10">
        <v>5</v>
      </c>
      <c r="G35" s="10">
        <v>8</v>
      </c>
      <c r="H35" s="10">
        <v>1.4822768535599755</v>
      </c>
      <c r="I35" s="10">
        <v>-6.5177231464400247</v>
      </c>
      <c r="J35" s="10">
        <v>0.4</v>
      </c>
      <c r="K35" s="10">
        <v>0.88888888888888884</v>
      </c>
      <c r="L35" s="10">
        <v>0.59714405000157711</v>
      </c>
      <c r="M35" s="10">
        <v>0.60039885307486218</v>
      </c>
      <c r="N35" s="10">
        <v>6.0474164991377019E-2</v>
      </c>
      <c r="O35" s="10">
        <v>11.002586512138736</v>
      </c>
      <c r="P35" s="10">
        <v>11.002586512138731</v>
      </c>
      <c r="Q35" s="10" t="s">
        <v>98</v>
      </c>
      <c r="R35" s="10">
        <v>0.79925522731477072</v>
      </c>
      <c r="S35" s="10">
        <v>1</v>
      </c>
      <c r="T35" s="7">
        <v>2.5343112580067362</v>
      </c>
      <c r="U35" s="7">
        <v>101.32500000000002</v>
      </c>
      <c r="V35" s="7">
        <v>151.14533113971351</v>
      </c>
      <c r="W35" s="7">
        <v>150.83724133742012</v>
      </c>
      <c r="X35" s="7">
        <v>150.83724133742012</v>
      </c>
      <c r="Y35" s="7">
        <v>141.32500000000002</v>
      </c>
      <c r="Z35" s="7">
        <v>141.32500000000005</v>
      </c>
      <c r="AA35" s="4">
        <v>0.35465939948370767</v>
      </c>
      <c r="AB35" s="4">
        <v>18564.202854140862</v>
      </c>
      <c r="AC35" s="4">
        <v>44.346081086318804</v>
      </c>
      <c r="AD35" s="4">
        <v>11.934585268493834</v>
      </c>
      <c r="AE35" s="4">
        <v>0.52504292049583312</v>
      </c>
      <c r="AF35" s="4">
        <v>0</v>
      </c>
      <c r="AG35" s="4">
        <v>0</v>
      </c>
      <c r="AH35" s="4" t="s">
        <v>99</v>
      </c>
      <c r="AI35" s="4">
        <v>0.52941362158695882</v>
      </c>
      <c r="AJ35" s="4">
        <v>0</v>
      </c>
      <c r="AK35" s="4" t="s">
        <v>99</v>
      </c>
      <c r="AL35" s="4">
        <v>0.35789591940726662</v>
      </c>
      <c r="AM35" s="4">
        <v>0</v>
      </c>
      <c r="AN35" s="4" t="s">
        <v>99</v>
      </c>
      <c r="AO35" s="4" t="s">
        <v>134</v>
      </c>
      <c r="AP35" s="4" t="s">
        <v>21</v>
      </c>
      <c r="AQ35" s="4"/>
      <c r="AR35" s="10">
        <f t="shared" si="0"/>
        <v>0</v>
      </c>
      <c r="AS35" s="10">
        <f t="shared" si="1"/>
        <v>0</v>
      </c>
      <c r="AT35" s="10">
        <f t="shared" si="2"/>
        <v>0</v>
      </c>
      <c r="AU35" s="10">
        <f t="shared" si="3"/>
        <v>0</v>
      </c>
    </row>
    <row r="36" spans="1:47" ht="18" customHeight="1">
      <c r="A36" s="4" t="s">
        <v>23</v>
      </c>
      <c r="B36" s="4" t="s">
        <v>137</v>
      </c>
      <c r="C36" s="9" t="b">
        <v>1</v>
      </c>
      <c r="D36" s="9" t="b">
        <v>1</v>
      </c>
      <c r="E36" s="10">
        <v>0.2</v>
      </c>
      <c r="F36" s="10">
        <v>3.6</v>
      </c>
      <c r="G36" s="10">
        <v>0</v>
      </c>
      <c r="H36" s="10">
        <v>0</v>
      </c>
      <c r="I36" s="10">
        <v>0</v>
      </c>
      <c r="J36" s="10">
        <v>5.0000000000000001E-3</v>
      </c>
      <c r="K36" s="10">
        <v>0</v>
      </c>
      <c r="L36" s="10">
        <v>0</v>
      </c>
      <c r="M36" s="10">
        <v>0</v>
      </c>
      <c r="N36" s="10">
        <v>0</v>
      </c>
      <c r="O36" s="10">
        <v>3.5978724311160852</v>
      </c>
      <c r="P36" s="10">
        <v>3.5978724311160755</v>
      </c>
      <c r="Q36" s="10" t="s">
        <v>98</v>
      </c>
      <c r="R36" s="10">
        <v>0.78062921927633289</v>
      </c>
      <c r="S36" s="10">
        <v>9.9999999999999982E-8</v>
      </c>
      <c r="T36" s="7">
        <v>0</v>
      </c>
      <c r="U36" s="7">
        <v>101.32500000000002</v>
      </c>
      <c r="V36" s="7">
        <v>161.58922253318173</v>
      </c>
      <c r="W36" s="7">
        <v>161.48553923111882</v>
      </c>
      <c r="X36" s="7">
        <v>161.48553923111882</v>
      </c>
      <c r="Y36" s="7">
        <v>156.32499999999999</v>
      </c>
      <c r="Z36" s="7">
        <v>156.32499999999999</v>
      </c>
      <c r="AA36" s="4">
        <v>8.4682527919307041E-2</v>
      </c>
      <c r="AB36" s="4">
        <v>21278.250000000004</v>
      </c>
      <c r="AC36" s="4">
        <v>19.940278734247784</v>
      </c>
      <c r="AD36" s="4">
        <v>10.669317582397923</v>
      </c>
      <c r="AE36" s="4">
        <v>0.50185337895290816</v>
      </c>
      <c r="AF36" s="4">
        <v>0</v>
      </c>
      <c r="AG36" s="4">
        <v>0</v>
      </c>
      <c r="AH36" s="4" t="s">
        <v>99</v>
      </c>
      <c r="AI36" s="4">
        <v>0.71433397463616377</v>
      </c>
      <c r="AJ36" s="4">
        <v>0</v>
      </c>
      <c r="AK36" s="4" t="s">
        <v>99</v>
      </c>
      <c r="AL36" s="4">
        <v>0.50026464288140593</v>
      </c>
      <c r="AM36" s="4">
        <v>0</v>
      </c>
      <c r="AN36" s="4" t="s">
        <v>99</v>
      </c>
      <c r="AO36" s="4" t="s">
        <v>100</v>
      </c>
      <c r="AP36" s="4" t="s">
        <v>12</v>
      </c>
      <c r="AQ36" s="4"/>
      <c r="AR36" s="10">
        <f t="shared" si="0"/>
        <v>0</v>
      </c>
      <c r="AS36" s="10">
        <f t="shared" si="1"/>
        <v>0</v>
      </c>
      <c r="AT36" s="10">
        <f t="shared" si="2"/>
        <v>0</v>
      </c>
      <c r="AU36" s="10">
        <f t="shared" si="3"/>
        <v>0</v>
      </c>
    </row>
    <row r="37" spans="1:47" ht="18" customHeight="1">
      <c r="A37" s="4" t="s">
        <v>23</v>
      </c>
      <c r="B37" s="4" t="s">
        <v>138</v>
      </c>
      <c r="C37" s="9" t="b">
        <v>1</v>
      </c>
      <c r="D37" s="9" t="b">
        <v>1</v>
      </c>
      <c r="E37" s="10">
        <v>0.2</v>
      </c>
      <c r="F37" s="10">
        <v>3.6</v>
      </c>
      <c r="G37" s="10">
        <v>0.1</v>
      </c>
      <c r="H37" s="10">
        <v>9.9999922062615737E-2</v>
      </c>
      <c r="I37" s="10">
        <v>-7.7937384268533805E-8</v>
      </c>
      <c r="J37" s="10">
        <v>5.000000000000001E-3</v>
      </c>
      <c r="K37" s="10">
        <v>9.0909090909090912E-2</v>
      </c>
      <c r="L37" s="10">
        <v>9.0909026498024043E-2</v>
      </c>
      <c r="M37" s="10">
        <v>9.1947823499055004E-2</v>
      </c>
      <c r="N37" s="10">
        <v>5.8749301328902166E-3</v>
      </c>
      <c r="O37" s="10">
        <v>3.8609285748313247</v>
      </c>
      <c r="P37" s="10">
        <v>3.8609283625966828</v>
      </c>
      <c r="Q37" s="10" t="s">
        <v>98</v>
      </c>
      <c r="R37" s="10">
        <v>0.7806810490332684</v>
      </c>
      <c r="S37" s="10">
        <v>0.11135016584202245</v>
      </c>
      <c r="T37" s="7">
        <v>3.1812536122574819</v>
      </c>
      <c r="U37" s="7">
        <v>101.32500000000003</v>
      </c>
      <c r="V37" s="7">
        <v>162.17109320752161</v>
      </c>
      <c r="W37" s="7">
        <v>162.04563695535293</v>
      </c>
      <c r="X37" s="7">
        <v>162.04563695535296</v>
      </c>
      <c r="Y37" s="7">
        <v>156.32499999999999</v>
      </c>
      <c r="Z37" s="7">
        <v>156.32500027019557</v>
      </c>
      <c r="AA37" s="4">
        <v>0.145296350481908</v>
      </c>
      <c r="AB37" s="4">
        <v>20681.88293886925</v>
      </c>
      <c r="AC37" s="4">
        <v>23.94235920043775</v>
      </c>
      <c r="AD37" s="4">
        <v>6.4252241180703251</v>
      </c>
      <c r="AE37" s="4">
        <v>0.67314482710363599</v>
      </c>
      <c r="AF37" s="4">
        <v>0</v>
      </c>
      <c r="AG37" s="4">
        <v>0</v>
      </c>
      <c r="AH37" s="4" t="s">
        <v>99</v>
      </c>
      <c r="AI37" s="4">
        <v>0.71589124874366894</v>
      </c>
      <c r="AJ37" s="4">
        <v>0</v>
      </c>
      <c r="AK37" s="4" t="s">
        <v>99</v>
      </c>
      <c r="AL37" s="4">
        <v>0.45471212917318105</v>
      </c>
      <c r="AM37" s="4">
        <v>0</v>
      </c>
      <c r="AN37" s="4" t="s">
        <v>99</v>
      </c>
      <c r="AO37" s="4" t="s">
        <v>102</v>
      </c>
      <c r="AP37" s="4" t="s">
        <v>12</v>
      </c>
      <c r="AQ37" s="4"/>
      <c r="AR37" s="10">
        <f t="shared" ref="AR37:AR56" si="4">MAX(0,AE37-1)*100</f>
        <v>0</v>
      </c>
      <c r="AS37" s="10">
        <f t="shared" ref="AS37:AS56" si="5">AF37*1000000</f>
        <v>0</v>
      </c>
      <c r="AT37" s="10">
        <f t="shared" ref="AT37:AT56" si="6">AG37*1000000</f>
        <v>0</v>
      </c>
      <c r="AU37" s="10">
        <f t="shared" ref="AU37:AU56" si="7">Z37-Y37</f>
        <v>2.7019558501706342E-7</v>
      </c>
    </row>
    <row r="38" spans="1:47" ht="18" customHeight="1">
      <c r="A38" s="4" t="s">
        <v>23</v>
      </c>
      <c r="B38" s="4" t="s">
        <v>139</v>
      </c>
      <c r="C38" s="9" t="b">
        <v>1</v>
      </c>
      <c r="D38" s="9" t="b">
        <v>1</v>
      </c>
      <c r="E38" s="10">
        <v>0.2</v>
      </c>
      <c r="F38" s="10">
        <v>3.6</v>
      </c>
      <c r="G38" s="10">
        <v>0.5</v>
      </c>
      <c r="H38" s="10">
        <v>0.49996753225107121</v>
      </c>
      <c r="I38" s="10">
        <v>-3.2467748928788343E-5</v>
      </c>
      <c r="J38" s="10">
        <v>2.5000000000000001E-2</v>
      </c>
      <c r="K38" s="10">
        <v>0.33333333333333331</v>
      </c>
      <c r="L38" s="10">
        <v>0.33331890287962801</v>
      </c>
      <c r="M38" s="10">
        <v>0.33618337837323931</v>
      </c>
      <c r="N38" s="10">
        <v>2.9372747483425624E-2</v>
      </c>
      <c r="O38" s="10">
        <v>4.9135379342222203</v>
      </c>
      <c r="P38" s="10">
        <v>4.9134818772515736</v>
      </c>
      <c r="Q38" s="10" t="s">
        <v>98</v>
      </c>
      <c r="R38" s="10">
        <v>0.78082841628165289</v>
      </c>
      <c r="S38" s="10">
        <v>0.50462734610883253</v>
      </c>
      <c r="T38" s="7">
        <v>3.1715789289611145</v>
      </c>
      <c r="U38" s="7">
        <v>101.32500000000002</v>
      </c>
      <c r="V38" s="7">
        <v>164.6347964182693</v>
      </c>
      <c r="W38" s="7">
        <v>164.40152250904521</v>
      </c>
      <c r="X38" s="7">
        <v>164.40152250904521</v>
      </c>
      <c r="Y38" s="7">
        <v>156.32499999999999</v>
      </c>
      <c r="Z38" s="7">
        <v>156.32507011308084</v>
      </c>
      <c r="AA38" s="4">
        <v>0.30551558729204253</v>
      </c>
      <c r="AB38" s="4">
        <v>19115.717430593413</v>
      </c>
      <c r="AC38" s="4">
        <v>34.436314502655648</v>
      </c>
      <c r="AD38" s="4">
        <v>4.7106959555347956</v>
      </c>
      <c r="AE38" s="4">
        <v>0.76622238737350268</v>
      </c>
      <c r="AF38" s="4">
        <v>0</v>
      </c>
      <c r="AG38" s="4">
        <v>0</v>
      </c>
      <c r="AH38" s="4" t="s">
        <v>99</v>
      </c>
      <c r="AI38" s="4">
        <v>0.72116239656439207</v>
      </c>
      <c r="AJ38" s="4">
        <v>0</v>
      </c>
      <c r="AK38" s="4" t="s">
        <v>99</v>
      </c>
      <c r="AL38" s="4">
        <v>0.44979616991083465</v>
      </c>
      <c r="AM38" s="4">
        <v>0</v>
      </c>
      <c r="AN38" s="4" t="s">
        <v>99</v>
      </c>
      <c r="AO38" s="4" t="s">
        <v>102</v>
      </c>
      <c r="AP38" s="4" t="s">
        <v>12</v>
      </c>
      <c r="AQ38" s="4"/>
      <c r="AR38" s="10">
        <f t="shared" si="4"/>
        <v>0</v>
      </c>
      <c r="AS38" s="10">
        <f t="shared" si="5"/>
        <v>0</v>
      </c>
      <c r="AT38" s="10">
        <f t="shared" si="6"/>
        <v>0</v>
      </c>
      <c r="AU38" s="10">
        <f t="shared" si="7"/>
        <v>7.0113080852252097E-5</v>
      </c>
    </row>
    <row r="39" spans="1:47" ht="18" customHeight="1">
      <c r="A39" s="4" t="s">
        <v>23</v>
      </c>
      <c r="B39" s="4" t="s">
        <v>140</v>
      </c>
      <c r="C39" s="9" t="b">
        <v>1</v>
      </c>
      <c r="D39" s="9" t="b">
        <v>1</v>
      </c>
      <c r="E39" s="10">
        <v>0.2</v>
      </c>
      <c r="F39" s="10">
        <v>3.6</v>
      </c>
      <c r="G39" s="10">
        <v>1</v>
      </c>
      <c r="H39" s="10">
        <v>0.99901044734593381</v>
      </c>
      <c r="I39" s="10">
        <v>-9.8955265406619475E-4</v>
      </c>
      <c r="J39" s="10">
        <v>0.05</v>
      </c>
      <c r="K39" s="10">
        <v>0.5</v>
      </c>
      <c r="L39" s="10">
        <v>0.49975248323133609</v>
      </c>
      <c r="M39" s="10">
        <v>0.5030667754083995</v>
      </c>
      <c r="N39" s="10">
        <v>5.8690395128784094E-2</v>
      </c>
      <c r="O39" s="10">
        <v>6.227686426487101</v>
      </c>
      <c r="P39" s="10">
        <v>6.2265236134730291</v>
      </c>
      <c r="Q39" s="10" t="s">
        <v>98</v>
      </c>
      <c r="R39" s="10">
        <v>0.78093149998175115</v>
      </c>
      <c r="S39" s="10">
        <v>0.90488630284387461</v>
      </c>
      <c r="T39" s="7">
        <v>3.152946601702197</v>
      </c>
      <c r="U39" s="7">
        <v>101.32500000000002</v>
      </c>
      <c r="V39" s="7">
        <v>168.07300154061579</v>
      </c>
      <c r="W39" s="7">
        <v>167.65869765268573</v>
      </c>
      <c r="X39" s="7">
        <v>167.65869765268579</v>
      </c>
      <c r="Y39" s="7">
        <v>156.32499999999999</v>
      </c>
      <c r="Z39" s="7">
        <v>156.32665171667207</v>
      </c>
      <c r="AA39" s="4">
        <v>0.41510285753486509</v>
      </c>
      <c r="AB39" s="4">
        <v>18061.722327493553</v>
      </c>
      <c r="AC39" s="4">
        <v>41.516693729599012</v>
      </c>
      <c r="AD39" s="4">
        <v>6.5059615722344262</v>
      </c>
      <c r="AE39" s="4">
        <v>0.70369688094212546</v>
      </c>
      <c r="AF39" s="4">
        <v>0</v>
      </c>
      <c r="AG39" s="4">
        <v>0</v>
      </c>
      <c r="AH39" s="4" t="s">
        <v>99</v>
      </c>
      <c r="AI39" s="4">
        <v>0.72653211040404031</v>
      </c>
      <c r="AJ39" s="4">
        <v>0</v>
      </c>
      <c r="AK39" s="4" t="s">
        <v>99</v>
      </c>
      <c r="AL39" s="4">
        <v>0.44394908630550739</v>
      </c>
      <c r="AM39" s="4">
        <v>0</v>
      </c>
      <c r="AN39" s="4" t="s">
        <v>99</v>
      </c>
      <c r="AO39" s="4" t="s">
        <v>102</v>
      </c>
      <c r="AP39" s="4" t="s">
        <v>12</v>
      </c>
      <c r="AQ39" s="4"/>
      <c r="AR39" s="10">
        <f t="shared" si="4"/>
        <v>0</v>
      </c>
      <c r="AS39" s="10">
        <f t="shared" si="5"/>
        <v>0</v>
      </c>
      <c r="AT39" s="10">
        <f t="shared" si="6"/>
        <v>0</v>
      </c>
      <c r="AU39" s="10">
        <f t="shared" si="7"/>
        <v>1.6517166720859677E-3</v>
      </c>
    </row>
    <row r="40" spans="1:47" ht="18" customHeight="1">
      <c r="A40" s="4" t="s">
        <v>23</v>
      </c>
      <c r="B40" s="4" t="s">
        <v>141</v>
      </c>
      <c r="C40" s="9" t="b">
        <v>1</v>
      </c>
      <c r="D40" s="9" t="b">
        <v>0</v>
      </c>
      <c r="E40" s="10">
        <v>0.2</v>
      </c>
      <c r="F40" s="10">
        <v>3.6</v>
      </c>
      <c r="G40" s="10">
        <v>2</v>
      </c>
      <c r="H40" s="10">
        <v>1.1342598806739821</v>
      </c>
      <c r="I40" s="10">
        <v>-0.86574011932601791</v>
      </c>
      <c r="J40" s="10">
        <v>0.1</v>
      </c>
      <c r="K40" s="10">
        <v>0.66666666666666663</v>
      </c>
      <c r="L40" s="10">
        <v>0.53145349867879821</v>
      </c>
      <c r="M40" s="10">
        <v>0.53477591646090628</v>
      </c>
      <c r="N40" s="10">
        <v>6.663702759927885E-2</v>
      </c>
      <c r="O40" s="10">
        <v>6.5841314376657527</v>
      </c>
      <c r="P40" s="10">
        <v>6.5841314376657509</v>
      </c>
      <c r="Q40" s="10" t="s">
        <v>98</v>
      </c>
      <c r="R40" s="10">
        <v>0.78095089554066954</v>
      </c>
      <c r="S40" s="10">
        <v>1</v>
      </c>
      <c r="T40" s="7">
        <v>3.1467566826400866</v>
      </c>
      <c r="U40" s="7">
        <v>101.32500000000002</v>
      </c>
      <c r="V40" s="7">
        <v>169.08234823501044</v>
      </c>
      <c r="W40" s="7">
        <v>168.61007291752921</v>
      </c>
      <c r="X40" s="7">
        <v>168.61007291752924</v>
      </c>
      <c r="Y40" s="7">
        <v>156.32499999999999</v>
      </c>
      <c r="Z40" s="7">
        <v>156.32500000000002</v>
      </c>
      <c r="AA40" s="4">
        <v>0.43608148408589614</v>
      </c>
      <c r="AB40" s="4">
        <v>17863.234505152661</v>
      </c>
      <c r="AC40" s="4">
        <v>42.856997838998382</v>
      </c>
      <c r="AD40" s="4">
        <v>6.9929893535900476</v>
      </c>
      <c r="AE40" s="4">
        <v>0.68749060228310821</v>
      </c>
      <c r="AF40" s="4">
        <v>0</v>
      </c>
      <c r="AG40" s="4">
        <v>0</v>
      </c>
      <c r="AH40" s="4" t="s">
        <v>99</v>
      </c>
      <c r="AI40" s="4">
        <v>0.72787826924174448</v>
      </c>
      <c r="AJ40" s="4">
        <v>0</v>
      </c>
      <c r="AK40" s="4" t="s">
        <v>99</v>
      </c>
      <c r="AL40" s="4">
        <v>0.44240641385811591</v>
      </c>
      <c r="AM40" s="4">
        <v>0</v>
      </c>
      <c r="AN40" s="4" t="s">
        <v>99</v>
      </c>
      <c r="AO40" s="4" t="s">
        <v>134</v>
      </c>
      <c r="AP40" s="4" t="s">
        <v>21</v>
      </c>
      <c r="AQ40" s="4"/>
      <c r="AR40" s="10">
        <f t="shared" si="4"/>
        <v>0</v>
      </c>
      <c r="AS40" s="10">
        <f t="shared" si="5"/>
        <v>0</v>
      </c>
      <c r="AT40" s="10">
        <f t="shared" si="6"/>
        <v>0</v>
      </c>
      <c r="AU40" s="10">
        <f t="shared" si="7"/>
        <v>0</v>
      </c>
    </row>
    <row r="41" spans="1:47" ht="18" customHeight="1">
      <c r="A41" s="4" t="s">
        <v>23</v>
      </c>
      <c r="B41" s="4" t="s">
        <v>142</v>
      </c>
      <c r="C41" s="9" t="b">
        <v>1</v>
      </c>
      <c r="D41" s="9" t="b">
        <v>0</v>
      </c>
      <c r="E41" s="10">
        <v>0.2</v>
      </c>
      <c r="F41" s="10">
        <v>3.6</v>
      </c>
      <c r="G41" s="10">
        <v>4</v>
      </c>
      <c r="H41" s="10">
        <v>1.1342593979015414</v>
      </c>
      <c r="I41" s="10">
        <v>-2.8657406020984588</v>
      </c>
      <c r="J41" s="10">
        <v>0.2</v>
      </c>
      <c r="K41" s="10">
        <v>0.8</v>
      </c>
      <c r="L41" s="10">
        <v>0.53145339269292868</v>
      </c>
      <c r="M41" s="10">
        <v>0.53477568327516034</v>
      </c>
      <c r="N41" s="10">
        <v>6.663699923671311E-2</v>
      </c>
      <c r="O41" s="10">
        <v>6.5841286387152085</v>
      </c>
      <c r="P41" s="10">
        <v>6.5841286387152076</v>
      </c>
      <c r="Q41" s="10" t="s">
        <v>98</v>
      </c>
      <c r="R41" s="10">
        <v>0.78095049086561441</v>
      </c>
      <c r="S41" s="10">
        <v>1</v>
      </c>
      <c r="T41" s="7">
        <v>3.146759078872754</v>
      </c>
      <c r="U41" s="7">
        <v>101.32500000000002</v>
      </c>
      <c r="V41" s="7">
        <v>169.08234817974892</v>
      </c>
      <c r="W41" s="7">
        <v>168.61007307592521</v>
      </c>
      <c r="X41" s="7">
        <v>168.61007307592527</v>
      </c>
      <c r="Y41" s="7">
        <v>156.32499999999999</v>
      </c>
      <c r="Z41" s="7">
        <v>156.32500000000002</v>
      </c>
      <c r="AA41" s="4">
        <v>0.43607464314357813</v>
      </c>
      <c r="AB41" s="4">
        <v>17863.125054177748</v>
      </c>
      <c r="AC41" s="4">
        <v>42.855582649991959</v>
      </c>
      <c r="AD41" s="4">
        <v>6.9915615706857892</v>
      </c>
      <c r="AE41" s="4">
        <v>0.68754190111560132</v>
      </c>
      <c r="AF41" s="4">
        <v>0</v>
      </c>
      <c r="AG41" s="4">
        <v>0</v>
      </c>
      <c r="AH41" s="4" t="s">
        <v>99</v>
      </c>
      <c r="AI41" s="4">
        <v>0.72786880021334877</v>
      </c>
      <c r="AJ41" s="4">
        <v>0</v>
      </c>
      <c r="AK41" s="4" t="s">
        <v>99</v>
      </c>
      <c r="AL41" s="4">
        <v>0.44240076698857905</v>
      </c>
      <c r="AM41" s="4">
        <v>0</v>
      </c>
      <c r="AN41" s="4" t="s">
        <v>99</v>
      </c>
      <c r="AO41" s="4" t="s">
        <v>134</v>
      </c>
      <c r="AP41" s="4" t="s">
        <v>21</v>
      </c>
      <c r="AQ41" s="4"/>
      <c r="AR41" s="10">
        <f t="shared" si="4"/>
        <v>0</v>
      </c>
      <c r="AS41" s="10">
        <f t="shared" si="5"/>
        <v>0</v>
      </c>
      <c r="AT41" s="10">
        <f t="shared" si="6"/>
        <v>0</v>
      </c>
      <c r="AU41" s="10">
        <f t="shared" si="7"/>
        <v>0</v>
      </c>
    </row>
    <row r="42" spans="1:47" ht="18" customHeight="1">
      <c r="A42" s="4" t="s">
        <v>23</v>
      </c>
      <c r="B42" s="4" t="s">
        <v>143</v>
      </c>
      <c r="C42" s="9" t="b">
        <v>1</v>
      </c>
      <c r="D42" s="9" t="b">
        <v>0</v>
      </c>
      <c r="E42" s="10">
        <v>0.2</v>
      </c>
      <c r="F42" s="10">
        <v>3.6</v>
      </c>
      <c r="G42" s="10">
        <v>8</v>
      </c>
      <c r="H42" s="10">
        <v>1.1342600010027133</v>
      </c>
      <c r="I42" s="10">
        <v>-6.8657399989972863</v>
      </c>
      <c r="J42" s="10">
        <v>0.4</v>
      </c>
      <c r="K42" s="10">
        <v>0.88888888888888884</v>
      </c>
      <c r="L42" s="10">
        <v>0.531453525095264</v>
      </c>
      <c r="M42" s="10">
        <v>0.53477597432726176</v>
      </c>
      <c r="N42" s="10">
        <v>6.6637034668513284E-2</v>
      </c>
      <c r="O42" s="10">
        <v>6.5841321322415212</v>
      </c>
      <c r="P42" s="10">
        <v>6.5841321322415185</v>
      </c>
      <c r="Q42" s="10" t="s">
        <v>98</v>
      </c>
      <c r="R42" s="10">
        <v>0.7809509955925007</v>
      </c>
      <c r="S42" s="10">
        <v>1</v>
      </c>
      <c r="T42" s="7">
        <v>3.1467560956538487</v>
      </c>
      <c r="U42" s="7">
        <v>101.32500000000003</v>
      </c>
      <c r="V42" s="7">
        <v>169.08234825600914</v>
      </c>
      <c r="W42" s="7">
        <v>168.61007288527486</v>
      </c>
      <c r="X42" s="7">
        <v>168.61007288527486</v>
      </c>
      <c r="Y42" s="7">
        <v>156.32499999999999</v>
      </c>
      <c r="Z42" s="7">
        <v>156.32499999999999</v>
      </c>
      <c r="AA42" s="4">
        <v>0.43608317563915372</v>
      </c>
      <c r="AB42" s="4">
        <v>17863.257096062338</v>
      </c>
      <c r="AC42" s="4">
        <v>42.857276125793419</v>
      </c>
      <c r="AD42" s="4">
        <v>6.9932753008636439</v>
      </c>
      <c r="AE42" s="4">
        <v>0.68748031936112142</v>
      </c>
      <c r="AF42" s="4">
        <v>0</v>
      </c>
      <c r="AG42" s="4">
        <v>0</v>
      </c>
      <c r="AH42" s="4" t="s">
        <v>99</v>
      </c>
      <c r="AI42" s="4">
        <v>0.72788061045640717</v>
      </c>
      <c r="AJ42" s="4">
        <v>0</v>
      </c>
      <c r="AK42" s="4" t="s">
        <v>99</v>
      </c>
      <c r="AL42" s="4">
        <v>0.44240794271463307</v>
      </c>
      <c r="AM42" s="4">
        <v>0</v>
      </c>
      <c r="AN42" s="4" t="s">
        <v>99</v>
      </c>
      <c r="AO42" s="4" t="s">
        <v>134</v>
      </c>
      <c r="AP42" s="4" t="s">
        <v>21</v>
      </c>
      <c r="AQ42" s="4"/>
      <c r="AR42" s="10">
        <f t="shared" si="4"/>
        <v>0</v>
      </c>
      <c r="AS42" s="10">
        <f t="shared" si="5"/>
        <v>0</v>
      </c>
      <c r="AT42" s="10">
        <f t="shared" si="6"/>
        <v>0</v>
      </c>
      <c r="AU42" s="10">
        <f t="shared" si="7"/>
        <v>0</v>
      </c>
    </row>
    <row r="43" spans="1:47" ht="18" customHeight="1">
      <c r="A43" s="4" t="s">
        <v>23</v>
      </c>
      <c r="B43" s="4" t="s">
        <v>144</v>
      </c>
      <c r="C43" s="9" t="b">
        <v>1</v>
      </c>
      <c r="D43" s="9" t="b">
        <v>1</v>
      </c>
      <c r="E43" s="10">
        <v>0.4</v>
      </c>
      <c r="F43" s="10">
        <v>2.4</v>
      </c>
      <c r="G43" s="10">
        <v>0</v>
      </c>
      <c r="H43" s="10">
        <v>0</v>
      </c>
      <c r="I43" s="10">
        <v>0</v>
      </c>
      <c r="J43" s="10">
        <v>5.0000000000000001E-3</v>
      </c>
      <c r="K43" s="10">
        <v>0</v>
      </c>
      <c r="L43" s="10">
        <v>0</v>
      </c>
      <c r="M43" s="10">
        <v>0</v>
      </c>
      <c r="N43" s="10">
        <v>0</v>
      </c>
      <c r="O43" s="10">
        <v>2.3985816207443227</v>
      </c>
      <c r="P43" s="10">
        <v>2.3985816207443138</v>
      </c>
      <c r="Q43" s="10" t="s">
        <v>98</v>
      </c>
      <c r="R43" s="10">
        <v>0.75853167965150736</v>
      </c>
      <c r="S43" s="10">
        <v>9.9999999999999969E-8</v>
      </c>
      <c r="T43" s="7">
        <v>0</v>
      </c>
      <c r="U43" s="7">
        <v>101.32500000000002</v>
      </c>
      <c r="V43" s="7">
        <v>178.58282706860214</v>
      </c>
      <c r="W43" s="7">
        <v>178.39850314267599</v>
      </c>
      <c r="X43" s="7">
        <v>178.39850314267602</v>
      </c>
      <c r="Y43" s="7">
        <v>171.32500000000002</v>
      </c>
      <c r="Z43" s="7">
        <v>171.32500000000002</v>
      </c>
      <c r="AA43" s="4">
        <v>8.1362817100107121E-2</v>
      </c>
      <c r="AB43" s="4">
        <v>21278.250000000004</v>
      </c>
      <c r="AC43" s="4">
        <v>19.8938688918102</v>
      </c>
      <c r="AD43" s="4">
        <v>10.62290773996034</v>
      </c>
      <c r="AE43" s="4">
        <v>0.50329898859059863</v>
      </c>
      <c r="AF43" s="4">
        <v>0</v>
      </c>
      <c r="AG43" s="4">
        <v>0</v>
      </c>
      <c r="AH43" s="4" t="s">
        <v>99</v>
      </c>
      <c r="AI43" s="4">
        <v>0.99959116201143772</v>
      </c>
      <c r="AJ43" s="4">
        <v>2.4675846153910834E-5</v>
      </c>
      <c r="AK43" s="4" t="s">
        <v>113</v>
      </c>
      <c r="AL43" s="4">
        <v>0.50046930197166695</v>
      </c>
      <c r="AM43" s="4">
        <v>0</v>
      </c>
      <c r="AN43" s="4" t="s">
        <v>99</v>
      </c>
      <c r="AO43" s="4" t="s">
        <v>100</v>
      </c>
      <c r="AP43" s="4" t="s">
        <v>12</v>
      </c>
      <c r="AQ43" s="4"/>
      <c r="AR43" s="10">
        <f t="shared" si="4"/>
        <v>0</v>
      </c>
      <c r="AS43" s="10">
        <f t="shared" si="5"/>
        <v>0</v>
      </c>
      <c r="AT43" s="10">
        <f t="shared" si="6"/>
        <v>0</v>
      </c>
      <c r="AU43" s="10">
        <f t="shared" si="7"/>
        <v>0</v>
      </c>
    </row>
    <row r="44" spans="1:47" ht="18" customHeight="1">
      <c r="A44" s="4" t="s">
        <v>23</v>
      </c>
      <c r="B44" s="4" t="s">
        <v>145</v>
      </c>
      <c r="C44" s="9" t="b">
        <v>1</v>
      </c>
      <c r="D44" s="9" t="b">
        <v>1</v>
      </c>
      <c r="E44" s="10">
        <v>0.4</v>
      </c>
      <c r="F44" s="10">
        <v>2.4</v>
      </c>
      <c r="G44" s="10">
        <v>0.1</v>
      </c>
      <c r="H44" s="10">
        <v>9.9999236319091217E-2</v>
      </c>
      <c r="I44" s="10">
        <v>-7.6368090878853323E-7</v>
      </c>
      <c r="J44" s="10">
        <v>5.000000000000001E-3</v>
      </c>
      <c r="K44" s="10">
        <v>9.0909090909090912E-2</v>
      </c>
      <c r="L44" s="10">
        <v>9.0908459767341049E-2</v>
      </c>
      <c r="M44" s="10">
        <v>9.1677335866505907E-2</v>
      </c>
      <c r="N44" s="10">
        <v>7.8331863301998941E-3</v>
      </c>
      <c r="O44" s="10">
        <v>2.5397409151290438</v>
      </c>
      <c r="P44" s="10">
        <v>2.5397400088972635</v>
      </c>
      <c r="Q44" s="10" t="s">
        <v>98</v>
      </c>
      <c r="R44" s="10">
        <v>0.75850714929712182</v>
      </c>
      <c r="S44" s="10">
        <v>0.13699465822558507</v>
      </c>
      <c r="T44" s="7">
        <v>3.8127676918791384</v>
      </c>
      <c r="U44" s="7">
        <v>101.32500000000002</v>
      </c>
      <c r="V44" s="7">
        <v>179.42329429644383</v>
      </c>
      <c r="W44" s="7">
        <v>179.2002631892054</v>
      </c>
      <c r="X44" s="7">
        <v>179.20026318920543</v>
      </c>
      <c r="Y44" s="7">
        <v>171.32500000000002</v>
      </c>
      <c r="Z44" s="7">
        <v>171.32500272196117</v>
      </c>
      <c r="AA44" s="4">
        <v>0.1750627601824731</v>
      </c>
      <c r="AB44" s="4">
        <v>20364.186725522708</v>
      </c>
      <c r="AC44" s="4">
        <v>24.377886057038211</v>
      </c>
      <c r="AD44" s="4">
        <v>3.2300484616444578</v>
      </c>
      <c r="AE44" s="4">
        <v>0.82211824728501515</v>
      </c>
      <c r="AF44" s="4">
        <v>0</v>
      </c>
      <c r="AG44" s="4">
        <v>0</v>
      </c>
      <c r="AH44" s="4" t="s">
        <v>99</v>
      </c>
      <c r="AI44" s="4">
        <v>0.99958836422028463</v>
      </c>
      <c r="AJ44" s="4">
        <v>3.1079329416602284E-5</v>
      </c>
      <c r="AK44" s="4" t="s">
        <v>113</v>
      </c>
      <c r="AL44" s="4">
        <v>0.58126778939400192</v>
      </c>
      <c r="AM44" s="4">
        <v>0</v>
      </c>
      <c r="AN44" s="4" t="s">
        <v>99</v>
      </c>
      <c r="AO44" s="4" t="s">
        <v>102</v>
      </c>
      <c r="AP44" s="4" t="s">
        <v>12</v>
      </c>
      <c r="AQ44" s="4"/>
      <c r="AR44" s="10">
        <f t="shared" si="4"/>
        <v>0</v>
      </c>
      <c r="AS44" s="10">
        <f t="shared" si="5"/>
        <v>0</v>
      </c>
      <c r="AT44" s="10">
        <f t="shared" si="6"/>
        <v>0</v>
      </c>
      <c r="AU44" s="10">
        <f t="shared" si="7"/>
        <v>2.7219611524742504E-6</v>
      </c>
    </row>
    <row r="45" spans="1:47" ht="18" customHeight="1">
      <c r="A45" s="4" t="s">
        <v>23</v>
      </c>
      <c r="B45" s="4" t="s">
        <v>146</v>
      </c>
      <c r="C45" s="9" t="b">
        <v>1</v>
      </c>
      <c r="D45" s="9" t="b">
        <v>1</v>
      </c>
      <c r="E45" s="10">
        <v>0.4</v>
      </c>
      <c r="F45" s="10">
        <v>2.4</v>
      </c>
      <c r="G45" s="10">
        <v>0.5</v>
      </c>
      <c r="H45" s="10">
        <v>0.49987513049764964</v>
      </c>
      <c r="I45" s="10">
        <v>-1.2486950235035543E-4</v>
      </c>
      <c r="J45" s="10">
        <v>2.5000000000000001E-2</v>
      </c>
      <c r="K45" s="10">
        <v>0.33333333333333331</v>
      </c>
      <c r="L45" s="10">
        <v>0.33327783081290591</v>
      </c>
      <c r="M45" s="10">
        <v>0.33544096309253058</v>
      </c>
      <c r="N45" s="10">
        <v>3.9156371939356241E-2</v>
      </c>
      <c r="O45" s="10">
        <v>3.1045075964572986</v>
      </c>
      <c r="P45" s="10">
        <v>3.1043946716796214</v>
      </c>
      <c r="Q45" s="10" t="s">
        <v>98</v>
      </c>
      <c r="R45" s="10">
        <v>0.7584091712194343</v>
      </c>
      <c r="S45" s="10">
        <v>0.60864868227813396</v>
      </c>
      <c r="T45" s="7">
        <v>3.7989367137951557</v>
      </c>
      <c r="U45" s="7">
        <v>101.32500000000003</v>
      </c>
      <c r="V45" s="7">
        <v>183.07957739603609</v>
      </c>
      <c r="W45" s="7">
        <v>182.66492239060437</v>
      </c>
      <c r="X45" s="7">
        <v>182.6649223906044</v>
      </c>
      <c r="Y45" s="7">
        <v>171.32500000000002</v>
      </c>
      <c r="Z45" s="7">
        <v>171.32505031614923</v>
      </c>
      <c r="AA45" s="4">
        <v>0.42249490449943189</v>
      </c>
      <c r="AB45" s="4">
        <v>17975.178750376264</v>
      </c>
      <c r="AC45" s="4">
        <v>36.024212410096709</v>
      </c>
      <c r="AD45" s="4">
        <v>-0.11392283830842587</v>
      </c>
      <c r="AE45" s="4">
        <v>1.0062643148576287</v>
      </c>
      <c r="AF45" s="4">
        <v>2.1907135484692087E-8</v>
      </c>
      <c r="AG45" s="4">
        <v>1.3144281290815252E-6</v>
      </c>
      <c r="AH45" s="4" t="s">
        <v>113</v>
      </c>
      <c r="AI45" s="4">
        <v>0.99958012952801056</v>
      </c>
      <c r="AJ45" s="4">
        <v>6.0805639470667009E-5</v>
      </c>
      <c r="AK45" s="4" t="s">
        <v>113</v>
      </c>
      <c r="AL45" s="4">
        <v>0.56566648535257402</v>
      </c>
      <c r="AM45" s="4">
        <v>0</v>
      </c>
      <c r="AN45" s="4" t="s">
        <v>99</v>
      </c>
      <c r="AO45" s="4" t="s">
        <v>102</v>
      </c>
      <c r="AP45" s="4" t="s">
        <v>15</v>
      </c>
      <c r="AQ45" s="4"/>
      <c r="AR45" s="10">
        <f t="shared" si="4"/>
        <v>0.62643148576286833</v>
      </c>
      <c r="AS45" s="10">
        <f t="shared" si="5"/>
        <v>2.1907135484692086E-2</v>
      </c>
      <c r="AT45" s="10">
        <f t="shared" si="6"/>
        <v>1.3144281290815252</v>
      </c>
      <c r="AU45" s="10">
        <f t="shared" si="7"/>
        <v>5.0316149213358585E-5</v>
      </c>
    </row>
    <row r="46" spans="1:47" ht="18" customHeight="1">
      <c r="A46" s="4" t="s">
        <v>23</v>
      </c>
      <c r="B46" s="4" t="s">
        <v>147</v>
      </c>
      <c r="C46" s="9" t="b">
        <v>1</v>
      </c>
      <c r="D46" s="9" t="b">
        <v>0</v>
      </c>
      <c r="E46" s="10">
        <v>0.4</v>
      </c>
      <c r="F46" s="10">
        <v>2.4</v>
      </c>
      <c r="G46" s="10">
        <v>1</v>
      </c>
      <c r="H46" s="10">
        <v>0.91329016283727105</v>
      </c>
      <c r="I46" s="10">
        <v>-8.6709837162728953E-2</v>
      </c>
      <c r="J46" s="10">
        <v>0.05</v>
      </c>
      <c r="K46" s="10">
        <v>0.5</v>
      </c>
      <c r="L46" s="10">
        <v>0.47734012361351813</v>
      </c>
      <c r="M46" s="10">
        <v>0.4798795925470935</v>
      </c>
      <c r="N46" s="10">
        <v>7.1540267886373604E-2</v>
      </c>
      <c r="O46" s="10">
        <v>3.6889574031434895</v>
      </c>
      <c r="P46" s="10">
        <v>3.6889574031434882</v>
      </c>
      <c r="Q46" s="10" t="s">
        <v>98</v>
      </c>
      <c r="R46" s="10">
        <v>0.7582962806853778</v>
      </c>
      <c r="S46" s="10">
        <v>1</v>
      </c>
      <c r="T46" s="7">
        <v>3.7754089483812145</v>
      </c>
      <c r="U46" s="7">
        <v>101.32500000000002</v>
      </c>
      <c r="V46" s="7">
        <v>187.43305387558937</v>
      </c>
      <c r="W46" s="7">
        <v>186.75830975682845</v>
      </c>
      <c r="X46" s="7">
        <v>186.75830975682851</v>
      </c>
      <c r="Y46" s="7">
        <v>171.32500000000002</v>
      </c>
      <c r="Z46" s="7">
        <v>171.32500000000007</v>
      </c>
      <c r="AA46" s="4">
        <v>0.56770540328822849</v>
      </c>
      <c r="AB46" s="4">
        <v>16594.153090518514</v>
      </c>
      <c r="AC46" s="4">
        <v>42.846446672885236</v>
      </c>
      <c r="AD46" s="4">
        <v>1.3625393771374092</v>
      </c>
      <c r="AE46" s="4">
        <v>0.93096957752627063</v>
      </c>
      <c r="AF46" s="4">
        <v>0</v>
      </c>
      <c r="AG46" s="4">
        <v>0</v>
      </c>
      <c r="AH46" s="4" t="s">
        <v>111</v>
      </c>
      <c r="AI46" s="4">
        <v>0.99958089491336333</v>
      </c>
      <c r="AJ46" s="4">
        <v>9.1964591262403976E-5</v>
      </c>
      <c r="AK46" s="4" t="s">
        <v>113</v>
      </c>
      <c r="AL46" s="4">
        <v>0.55304989115424341</v>
      </c>
      <c r="AM46" s="4">
        <v>0</v>
      </c>
      <c r="AN46" s="4" t="s">
        <v>99</v>
      </c>
      <c r="AO46" s="4" t="s">
        <v>134</v>
      </c>
      <c r="AP46" s="4" t="s">
        <v>21</v>
      </c>
      <c r="AQ46" s="4"/>
      <c r="AR46" s="10">
        <f t="shared" si="4"/>
        <v>0</v>
      </c>
      <c r="AS46" s="10">
        <f t="shared" si="5"/>
        <v>0</v>
      </c>
      <c r="AT46" s="10">
        <f t="shared" si="6"/>
        <v>0</v>
      </c>
      <c r="AU46" s="10">
        <f t="shared" si="7"/>
        <v>0</v>
      </c>
    </row>
    <row r="47" spans="1:47" ht="18" customHeight="1">
      <c r="A47" s="4" t="s">
        <v>23</v>
      </c>
      <c r="B47" s="4" t="s">
        <v>148</v>
      </c>
      <c r="C47" s="9" t="b">
        <v>1</v>
      </c>
      <c r="D47" s="9" t="b">
        <v>0</v>
      </c>
      <c r="E47" s="10">
        <v>0.4</v>
      </c>
      <c r="F47" s="10">
        <v>2.4</v>
      </c>
      <c r="G47" s="10">
        <v>2</v>
      </c>
      <c r="H47" s="10">
        <v>0.91329022446162444</v>
      </c>
      <c r="I47" s="10">
        <v>-1.0867097755383757</v>
      </c>
      <c r="J47" s="10">
        <v>0.1</v>
      </c>
      <c r="K47" s="10">
        <v>0.66666666666666663</v>
      </c>
      <c r="L47" s="10">
        <v>0.47734014044764833</v>
      </c>
      <c r="M47" s="10">
        <v>0.4798797944444409</v>
      </c>
      <c r="N47" s="10">
        <v>7.1540272713560976E-2</v>
      </c>
      <c r="O47" s="10">
        <v>3.6889584469279084</v>
      </c>
      <c r="P47" s="10">
        <v>3.6889584469279075</v>
      </c>
      <c r="Q47" s="10" t="s">
        <v>98</v>
      </c>
      <c r="R47" s="10">
        <v>0.75829638489005735</v>
      </c>
      <c r="S47" s="10">
        <v>1</v>
      </c>
      <c r="T47" s="7">
        <v>3.7754063581148913</v>
      </c>
      <c r="U47" s="7">
        <v>101.32500000000003</v>
      </c>
      <c r="V47" s="7">
        <v>187.43304678403794</v>
      </c>
      <c r="W47" s="7">
        <v>186.75830262181211</v>
      </c>
      <c r="X47" s="7">
        <v>186.75830262181216</v>
      </c>
      <c r="Y47" s="7">
        <v>171.32500000000002</v>
      </c>
      <c r="Z47" s="7">
        <v>171.32500000000005</v>
      </c>
      <c r="AA47" s="4">
        <v>0.56772702051302593</v>
      </c>
      <c r="AB47" s="4">
        <v>16594.500491329971</v>
      </c>
      <c r="AC47" s="4">
        <v>42.852221281555273</v>
      </c>
      <c r="AD47" s="4">
        <v>1.3680394169088714</v>
      </c>
      <c r="AE47" s="4">
        <v>0.93070227193766797</v>
      </c>
      <c r="AF47" s="4">
        <v>0</v>
      </c>
      <c r="AG47" s="4">
        <v>0</v>
      </c>
      <c r="AH47" s="4" t="s">
        <v>111</v>
      </c>
      <c r="AI47" s="4">
        <v>0.99958101030297575</v>
      </c>
      <c r="AJ47" s="4">
        <v>9.2021536109403526E-5</v>
      </c>
      <c r="AK47" s="4" t="s">
        <v>113</v>
      </c>
      <c r="AL47" s="4">
        <v>0.55304748821480254</v>
      </c>
      <c r="AM47" s="4">
        <v>0</v>
      </c>
      <c r="AN47" s="4" t="s">
        <v>99</v>
      </c>
      <c r="AO47" s="4" t="s">
        <v>134</v>
      </c>
      <c r="AP47" s="4" t="s">
        <v>21</v>
      </c>
      <c r="AQ47" s="4"/>
      <c r="AR47" s="10">
        <f t="shared" si="4"/>
        <v>0</v>
      </c>
      <c r="AS47" s="10">
        <f t="shared" si="5"/>
        <v>0</v>
      </c>
      <c r="AT47" s="10">
        <f t="shared" si="6"/>
        <v>0</v>
      </c>
      <c r="AU47" s="10">
        <f t="shared" si="7"/>
        <v>0</v>
      </c>
    </row>
    <row r="48" spans="1:47" ht="18" customHeight="1">
      <c r="A48" s="4" t="s">
        <v>23</v>
      </c>
      <c r="B48" s="4" t="s">
        <v>149</v>
      </c>
      <c r="C48" s="9" t="b">
        <v>1</v>
      </c>
      <c r="D48" s="9" t="b">
        <v>0</v>
      </c>
      <c r="E48" s="10">
        <v>0.4</v>
      </c>
      <c r="F48" s="10">
        <v>2.4</v>
      </c>
      <c r="G48" s="10">
        <v>4</v>
      </c>
      <c r="H48" s="10">
        <v>0.91329020794462246</v>
      </c>
      <c r="I48" s="10">
        <v>-3.0867097920553777</v>
      </c>
      <c r="J48" s="10">
        <v>0.2</v>
      </c>
      <c r="K48" s="10">
        <v>0.8</v>
      </c>
      <c r="L48" s="10">
        <v>0.47734013593564384</v>
      </c>
      <c r="M48" s="10">
        <v>0.47987966064320509</v>
      </c>
      <c r="N48" s="10">
        <v>7.154027141351553E-2</v>
      </c>
      <c r="O48" s="10">
        <v>3.6889577549506187</v>
      </c>
      <c r="P48" s="10">
        <v>3.6889577485766876</v>
      </c>
      <c r="Q48" s="10" t="s">
        <v>98</v>
      </c>
      <c r="R48" s="10">
        <v>0.75829631222336524</v>
      </c>
      <c r="S48" s="10">
        <v>1</v>
      </c>
      <c r="T48" s="7">
        <v>3.775408390207355</v>
      </c>
      <c r="U48" s="7">
        <v>101.32500000000002</v>
      </c>
      <c r="V48" s="7">
        <v>187.43305206672571</v>
      </c>
      <c r="W48" s="7">
        <v>186.75830791626717</v>
      </c>
      <c r="X48" s="7">
        <v>186.7583079162672</v>
      </c>
      <c r="Y48" s="7">
        <v>171.32500000000002</v>
      </c>
      <c r="Z48" s="7">
        <v>171.32500003145427</v>
      </c>
      <c r="AA48" s="4">
        <v>0.56771192741977639</v>
      </c>
      <c r="AB48" s="4">
        <v>16594.178613441294</v>
      </c>
      <c r="AC48" s="4">
        <v>42.846826484642122</v>
      </c>
      <c r="AD48" s="4">
        <v>1.3629265798842169</v>
      </c>
      <c r="AE48" s="4">
        <v>0.93095074338330974</v>
      </c>
      <c r="AF48" s="4">
        <v>0</v>
      </c>
      <c r="AG48" s="4">
        <v>0</v>
      </c>
      <c r="AH48" s="4" t="s">
        <v>111</v>
      </c>
      <c r="AI48" s="4">
        <v>0.99958092972720569</v>
      </c>
      <c r="AJ48" s="4">
        <v>9.198174670462287E-5</v>
      </c>
      <c r="AK48" s="4" t="s">
        <v>113</v>
      </c>
      <c r="AL48" s="4">
        <v>0.55304835915897665</v>
      </c>
      <c r="AM48" s="4">
        <v>0</v>
      </c>
      <c r="AN48" s="4" t="s">
        <v>99</v>
      </c>
      <c r="AO48" s="4" t="s">
        <v>134</v>
      </c>
      <c r="AP48" s="4" t="s">
        <v>21</v>
      </c>
      <c r="AQ48" s="4"/>
      <c r="AR48" s="10">
        <f t="shared" si="4"/>
        <v>0</v>
      </c>
      <c r="AS48" s="10">
        <f t="shared" si="5"/>
        <v>0</v>
      </c>
      <c r="AT48" s="10">
        <f t="shared" si="6"/>
        <v>0</v>
      </c>
      <c r="AU48" s="10">
        <f t="shared" si="7"/>
        <v>3.1454248983209254E-8</v>
      </c>
    </row>
    <row r="49" spans="1:47" ht="18" customHeight="1">
      <c r="A49" s="4" t="s">
        <v>23</v>
      </c>
      <c r="B49" s="4" t="s">
        <v>150</v>
      </c>
      <c r="C49" s="9" t="b">
        <v>1</v>
      </c>
      <c r="D49" s="9" t="b">
        <v>0</v>
      </c>
      <c r="E49" s="10">
        <v>0.4</v>
      </c>
      <c r="F49" s="10">
        <v>2.4</v>
      </c>
      <c r="G49" s="10">
        <v>8</v>
      </c>
      <c r="H49" s="10">
        <v>0.91329016632821947</v>
      </c>
      <c r="I49" s="10">
        <v>-7.0867098336717804</v>
      </c>
      <c r="J49" s="10">
        <v>0.4</v>
      </c>
      <c r="K49" s="10">
        <v>0.88888888888888884</v>
      </c>
      <c r="L49" s="10">
        <v>0.47734012456715208</v>
      </c>
      <c r="M49" s="10">
        <v>0.479879603271129</v>
      </c>
      <c r="N49" s="10">
        <v>7.1540268159828183E-2</v>
      </c>
      <c r="O49" s="10">
        <v>3.6889574585854112</v>
      </c>
      <c r="P49" s="10">
        <v>3.6889574585854099</v>
      </c>
      <c r="Q49" s="10" t="s">
        <v>98</v>
      </c>
      <c r="R49" s="10">
        <v>0.75829628629847956</v>
      </c>
      <c r="S49" s="10">
        <v>1</v>
      </c>
      <c r="T49" s="7">
        <v>3.7754088117995268</v>
      </c>
      <c r="U49" s="7">
        <v>101.32500000000002</v>
      </c>
      <c r="V49" s="7">
        <v>187.43305350388033</v>
      </c>
      <c r="W49" s="7">
        <v>186.75830938265719</v>
      </c>
      <c r="X49" s="7">
        <v>186.7583093826573</v>
      </c>
      <c r="Y49" s="7">
        <v>171.32500000000002</v>
      </c>
      <c r="Z49" s="7">
        <v>171.32500000000005</v>
      </c>
      <c r="AA49" s="4">
        <v>0.56770654387907316</v>
      </c>
      <c r="AB49" s="4">
        <v>16594.155309447422</v>
      </c>
      <c r="AC49" s="4">
        <v>42.846474153193753</v>
      </c>
      <c r="AD49" s="4">
        <v>1.3625707745977707</v>
      </c>
      <c r="AE49" s="4">
        <v>0.93096804869907845</v>
      </c>
      <c r="AF49" s="4">
        <v>0</v>
      </c>
      <c r="AG49" s="4">
        <v>0</v>
      </c>
      <c r="AH49" s="4" t="s">
        <v>111</v>
      </c>
      <c r="AI49" s="4">
        <v>0.99958090102135999</v>
      </c>
      <c r="AJ49" s="4">
        <v>9.1967584304284477E-5</v>
      </c>
      <c r="AK49" s="4" t="s">
        <v>113</v>
      </c>
      <c r="AL49" s="4">
        <v>0.55304949437036666</v>
      </c>
      <c r="AM49" s="4">
        <v>0</v>
      </c>
      <c r="AN49" s="4" t="s">
        <v>99</v>
      </c>
      <c r="AO49" s="4" t="s">
        <v>134</v>
      </c>
      <c r="AP49" s="4" t="s">
        <v>21</v>
      </c>
      <c r="AQ49" s="4"/>
      <c r="AR49" s="10">
        <f t="shared" si="4"/>
        <v>0</v>
      </c>
      <c r="AS49" s="10">
        <f t="shared" si="5"/>
        <v>0</v>
      </c>
      <c r="AT49" s="10">
        <f t="shared" si="6"/>
        <v>0</v>
      </c>
      <c r="AU49" s="10">
        <f t="shared" si="7"/>
        <v>0</v>
      </c>
    </row>
    <row r="50" spans="1:47" ht="18" customHeight="1">
      <c r="A50" s="4" t="s">
        <v>23</v>
      </c>
      <c r="B50" s="4" t="s">
        <v>151</v>
      </c>
      <c r="C50" s="9" t="b">
        <v>1</v>
      </c>
      <c r="D50" s="9" t="b">
        <v>1</v>
      </c>
      <c r="E50" s="10">
        <v>1</v>
      </c>
      <c r="F50" s="10">
        <v>1.8</v>
      </c>
      <c r="G50" s="10">
        <v>0</v>
      </c>
      <c r="H50" s="10">
        <v>0</v>
      </c>
      <c r="I50" s="10">
        <v>0</v>
      </c>
      <c r="J50" s="10">
        <v>5.0000000000000001E-3</v>
      </c>
      <c r="K50" s="10">
        <v>0</v>
      </c>
      <c r="L50" s="10">
        <v>0</v>
      </c>
      <c r="M50" s="10">
        <v>0</v>
      </c>
      <c r="N50" s="10">
        <v>0</v>
      </c>
      <c r="O50" s="10">
        <v>1.7989362155590469</v>
      </c>
      <c r="P50" s="10">
        <v>1.7989362155590336</v>
      </c>
      <c r="Q50" s="10" t="s">
        <v>98</v>
      </c>
      <c r="R50" s="10">
        <v>0.70907335312208619</v>
      </c>
      <c r="S50" s="10">
        <v>9.9999999999999982E-8</v>
      </c>
      <c r="T50" s="7">
        <v>0</v>
      </c>
      <c r="U50" s="7">
        <v>101.32500000000002</v>
      </c>
      <c r="V50" s="7">
        <v>247.20534484139571</v>
      </c>
      <c r="W50" s="7">
        <v>246.55733732831868</v>
      </c>
      <c r="X50" s="7">
        <v>246.55733732831871</v>
      </c>
      <c r="Y50" s="7">
        <v>231.32499999999999</v>
      </c>
      <c r="Z50" s="7">
        <v>231.32499999999999</v>
      </c>
      <c r="AA50" s="4">
        <v>7.2346980500216762E-2</v>
      </c>
      <c r="AB50" s="4">
        <v>21278.249999999996</v>
      </c>
      <c r="AC50" s="4">
        <v>19.627693727286214</v>
      </c>
      <c r="AD50" s="4">
        <v>10.356732575436357</v>
      </c>
      <c r="AE50" s="4">
        <v>0.5116810031542075</v>
      </c>
      <c r="AF50" s="4">
        <v>0</v>
      </c>
      <c r="AG50" s="4">
        <v>0</v>
      </c>
      <c r="AH50" s="4" t="s">
        <v>99</v>
      </c>
      <c r="AI50" s="4">
        <v>1.0000399003636145</v>
      </c>
      <c r="AJ50" s="4">
        <v>4.7390176389457204E-4</v>
      </c>
      <c r="AK50" s="4" t="s">
        <v>113</v>
      </c>
      <c r="AL50" s="4">
        <v>0.50164480196510353</v>
      </c>
      <c r="AM50" s="4">
        <v>0</v>
      </c>
      <c r="AN50" s="4" t="s">
        <v>99</v>
      </c>
      <c r="AO50" s="4" t="s">
        <v>100</v>
      </c>
      <c r="AP50" s="4" t="s">
        <v>12</v>
      </c>
      <c r="AQ50" s="4"/>
      <c r="AR50" s="10">
        <f t="shared" si="4"/>
        <v>0</v>
      </c>
      <c r="AS50" s="10">
        <f t="shared" si="5"/>
        <v>0</v>
      </c>
      <c r="AT50" s="10">
        <f t="shared" si="6"/>
        <v>0</v>
      </c>
      <c r="AU50" s="10">
        <f t="shared" si="7"/>
        <v>0</v>
      </c>
    </row>
    <row r="51" spans="1:47" ht="18" customHeight="1">
      <c r="A51" s="4" t="s">
        <v>23</v>
      </c>
      <c r="B51" s="4" t="s">
        <v>152</v>
      </c>
      <c r="C51" s="9" t="b">
        <v>1</v>
      </c>
      <c r="D51" s="9" t="b">
        <v>1</v>
      </c>
      <c r="E51" s="10">
        <v>1</v>
      </c>
      <c r="F51" s="10">
        <v>1.8</v>
      </c>
      <c r="G51" s="10">
        <v>0.1</v>
      </c>
      <c r="H51" s="10">
        <v>9.9971045798420644E-2</v>
      </c>
      <c r="I51" s="10">
        <v>-2.8954201579362016E-5</v>
      </c>
      <c r="J51" s="10">
        <v>5.000000000000001E-3</v>
      </c>
      <c r="K51" s="10">
        <v>9.0909090909090912E-2</v>
      </c>
      <c r="L51" s="10">
        <v>9.0885161142397169E-2</v>
      </c>
      <c r="M51" s="10">
        <v>9.0516275668118512E-2</v>
      </c>
      <c r="N51" s="10">
        <v>1.4683075705405883E-2</v>
      </c>
      <c r="O51" s="10">
        <v>1.8784487679535877</v>
      </c>
      <c r="P51" s="10">
        <v>1.878436096016308</v>
      </c>
      <c r="Q51" s="10" t="s">
        <v>98</v>
      </c>
      <c r="R51" s="10">
        <v>0.70904519640228914</v>
      </c>
      <c r="S51" s="10">
        <v>0.20870783542165602</v>
      </c>
      <c r="T51" s="7">
        <v>5.9446599708733192</v>
      </c>
      <c r="U51" s="7">
        <v>101.32500000000002</v>
      </c>
      <c r="V51" s="7">
        <v>249.37270578330035</v>
      </c>
      <c r="W51" s="7">
        <v>248.58865940276198</v>
      </c>
      <c r="X51" s="7">
        <v>248.58865940276203</v>
      </c>
      <c r="Y51" s="7">
        <v>231.32499999999999</v>
      </c>
      <c r="Z51" s="7">
        <v>231.32510165932769</v>
      </c>
      <c r="AA51" s="4">
        <v>0.19512427205620775</v>
      </c>
      <c r="AB51" s="4">
        <v>20028.196435901373</v>
      </c>
      <c r="AC51" s="4">
        <v>25.561394357018969</v>
      </c>
      <c r="AD51" s="4">
        <v>0.71811005667697003</v>
      </c>
      <c r="AE51" s="4">
        <v>0.95815628525018537</v>
      </c>
      <c r="AF51" s="4">
        <v>0</v>
      </c>
      <c r="AG51" s="4">
        <v>0</v>
      </c>
      <c r="AH51" s="4" t="s">
        <v>111</v>
      </c>
      <c r="AI51" s="4">
        <v>1.0000565843427376</v>
      </c>
      <c r="AJ51" s="4">
        <v>5.3033159599247248E-4</v>
      </c>
      <c r="AK51" s="4" t="s">
        <v>113</v>
      </c>
      <c r="AL51" s="4">
        <v>0.44930019404259625</v>
      </c>
      <c r="AM51" s="4">
        <v>0</v>
      </c>
      <c r="AN51" s="4" t="s">
        <v>99</v>
      </c>
      <c r="AO51" s="4" t="s">
        <v>102</v>
      </c>
      <c r="AP51" s="4" t="s">
        <v>24</v>
      </c>
      <c r="AQ51" s="4"/>
      <c r="AR51" s="10">
        <f t="shared" si="4"/>
        <v>0</v>
      </c>
      <c r="AS51" s="10">
        <f t="shared" si="5"/>
        <v>0</v>
      </c>
      <c r="AT51" s="10">
        <f t="shared" si="6"/>
        <v>0</v>
      </c>
      <c r="AU51" s="10">
        <f t="shared" si="7"/>
        <v>1.016593276972344E-4</v>
      </c>
    </row>
    <row r="52" spans="1:47" ht="18" customHeight="1">
      <c r="A52" s="4" t="s">
        <v>23</v>
      </c>
      <c r="B52" s="4" t="s">
        <v>153</v>
      </c>
      <c r="C52" s="9" t="b">
        <v>1</v>
      </c>
      <c r="D52" s="9" t="b">
        <v>1</v>
      </c>
      <c r="E52" s="10">
        <v>1</v>
      </c>
      <c r="F52" s="10">
        <v>1.8</v>
      </c>
      <c r="G52" s="10">
        <v>0.5</v>
      </c>
      <c r="H52" s="10">
        <v>0.49892572711411076</v>
      </c>
      <c r="I52" s="10">
        <v>-1.0742728858892381E-3</v>
      </c>
      <c r="J52" s="10">
        <v>2.5000000000000001E-2</v>
      </c>
      <c r="K52" s="10">
        <v>0.33333333333333331</v>
      </c>
      <c r="L52" s="10">
        <v>0.33285552265425661</v>
      </c>
      <c r="M52" s="10">
        <v>0.33224134925166526</v>
      </c>
      <c r="N52" s="10">
        <v>7.3278167145410439E-2</v>
      </c>
      <c r="O52" s="10">
        <v>2.1964295551550554</v>
      </c>
      <c r="P52" s="10">
        <v>2.1960913542816503</v>
      </c>
      <c r="Q52" s="10" t="s">
        <v>98</v>
      </c>
      <c r="R52" s="10">
        <v>0.70892723415766012</v>
      </c>
      <c r="S52" s="10">
        <v>0.88171684235713177</v>
      </c>
      <c r="T52" s="7">
        <v>5.9042033490283146</v>
      </c>
      <c r="U52" s="7">
        <v>101.32500000000002</v>
      </c>
      <c r="V52" s="7">
        <v>259.47950017275753</v>
      </c>
      <c r="W52" s="7">
        <v>258.02360331786429</v>
      </c>
      <c r="X52" s="7">
        <v>258.02360331786434</v>
      </c>
      <c r="Y52" s="7">
        <v>231.32499999999999</v>
      </c>
      <c r="Z52" s="7">
        <v>231.32784302989975</v>
      </c>
      <c r="AA52" s="4">
        <v>0.51741642877219163</v>
      </c>
      <c r="AB52" s="4">
        <v>16812.671706067904</v>
      </c>
      <c r="AC52" s="4">
        <v>40.948906027255362</v>
      </c>
      <c r="AD52" s="4">
        <v>-0.928600710449075</v>
      </c>
      <c r="AE52" s="4">
        <v>1.0502503083638788</v>
      </c>
      <c r="AF52" s="4">
        <v>2.7916435867106736E-7</v>
      </c>
      <c r="AG52" s="4">
        <v>1.6749861520264042E-5</v>
      </c>
      <c r="AH52" s="4" t="s">
        <v>113</v>
      </c>
      <c r="AI52" s="4">
        <v>1.0001848168884759</v>
      </c>
      <c r="AJ52" s="4">
        <v>7.7167040104916145E-4</v>
      </c>
      <c r="AK52" s="4" t="s">
        <v>113</v>
      </c>
      <c r="AL52" s="4">
        <v>0.42301269451797524</v>
      </c>
      <c r="AM52" s="4">
        <v>0</v>
      </c>
      <c r="AN52" s="4" t="s">
        <v>99</v>
      </c>
      <c r="AO52" s="4" t="s">
        <v>102</v>
      </c>
      <c r="AP52" s="4" t="s">
        <v>15</v>
      </c>
      <c r="AQ52" s="4"/>
      <c r="AR52" s="10">
        <f t="shared" si="4"/>
        <v>5.0250308363878782</v>
      </c>
      <c r="AS52" s="10">
        <f t="shared" si="5"/>
        <v>0.27916435867106737</v>
      </c>
      <c r="AT52" s="10">
        <f t="shared" si="6"/>
        <v>16.749861520264041</v>
      </c>
      <c r="AU52" s="10">
        <f t="shared" si="7"/>
        <v>2.8430298997648151E-3</v>
      </c>
    </row>
    <row r="53" spans="1:47" ht="18" customHeight="1">
      <c r="A53" s="4" t="s">
        <v>23</v>
      </c>
      <c r="B53" s="4" t="s">
        <v>154</v>
      </c>
      <c r="C53" s="9" t="b">
        <v>1</v>
      </c>
      <c r="D53" s="9" t="b">
        <v>0</v>
      </c>
      <c r="E53" s="10">
        <v>1</v>
      </c>
      <c r="F53" s="10">
        <v>1.8</v>
      </c>
      <c r="G53" s="10">
        <v>1</v>
      </c>
      <c r="H53" s="10">
        <v>0.58370136379538529</v>
      </c>
      <c r="I53" s="10">
        <v>-0.41629863620461471</v>
      </c>
      <c r="J53" s="10">
        <v>0.05</v>
      </c>
      <c r="K53" s="10">
        <v>0.5</v>
      </c>
      <c r="L53" s="10">
        <v>0.36856782291108747</v>
      </c>
      <c r="M53" s="10">
        <v>0.36802080376426438</v>
      </c>
      <c r="N53" s="10">
        <v>8.5730185276978926E-2</v>
      </c>
      <c r="O53" s="10">
        <v>2.2641833909183773</v>
      </c>
      <c r="P53" s="10">
        <v>2.2641833909183768</v>
      </c>
      <c r="Q53" s="10" t="s">
        <v>98</v>
      </c>
      <c r="R53" s="10">
        <v>0.70890274868398462</v>
      </c>
      <c r="S53" s="10">
        <v>1</v>
      </c>
      <c r="T53" s="7">
        <v>5.8913233823051971</v>
      </c>
      <c r="U53" s="7">
        <v>101.32500000000002</v>
      </c>
      <c r="V53" s="7">
        <v>261.94049498846897</v>
      </c>
      <c r="W53" s="7">
        <v>260.31522462883567</v>
      </c>
      <c r="X53" s="7">
        <v>260.31522462883572</v>
      </c>
      <c r="Y53" s="7">
        <v>231.32499999999999</v>
      </c>
      <c r="Z53" s="7">
        <v>231.32500000000005</v>
      </c>
      <c r="AA53" s="4">
        <v>0.56509287787033691</v>
      </c>
      <c r="AB53" s="4">
        <v>16349.888388394027</v>
      </c>
      <c r="AC53" s="4">
        <v>43.129795507777089</v>
      </c>
      <c r="AD53" s="4">
        <v>-0.33499469442270424</v>
      </c>
      <c r="AE53" s="4">
        <v>1.0175959731612767</v>
      </c>
      <c r="AF53" s="4">
        <v>1.1333795697024087E-7</v>
      </c>
      <c r="AG53" s="4">
        <v>6.8002774182144518E-6</v>
      </c>
      <c r="AH53" s="4" t="s">
        <v>113</v>
      </c>
      <c r="AI53" s="4">
        <v>1.0002305225314749</v>
      </c>
      <c r="AJ53" s="4">
        <v>8.2691617617702677E-4</v>
      </c>
      <c r="AK53" s="4" t="s">
        <v>113</v>
      </c>
      <c r="AL53" s="4">
        <v>0.41827112303129471</v>
      </c>
      <c r="AM53" s="4">
        <v>0</v>
      </c>
      <c r="AN53" s="4" t="s">
        <v>99</v>
      </c>
      <c r="AO53" s="4" t="s">
        <v>134</v>
      </c>
      <c r="AP53" s="4" t="s">
        <v>15</v>
      </c>
      <c r="AQ53" s="4"/>
      <c r="AR53" s="10">
        <f t="shared" si="4"/>
        <v>1.7595973161276701</v>
      </c>
      <c r="AS53" s="10">
        <f t="shared" si="5"/>
        <v>0.11333795697024086</v>
      </c>
      <c r="AT53" s="10">
        <f t="shared" si="6"/>
        <v>6.8002774182144519</v>
      </c>
      <c r="AU53" s="10">
        <f t="shared" si="7"/>
        <v>0</v>
      </c>
    </row>
    <row r="54" spans="1:47" ht="18" customHeight="1">
      <c r="A54" s="4" t="s">
        <v>23</v>
      </c>
      <c r="B54" s="4" t="s">
        <v>155</v>
      </c>
      <c r="C54" s="9" t="b">
        <v>1</v>
      </c>
      <c r="D54" s="9" t="b">
        <v>0</v>
      </c>
      <c r="E54" s="10">
        <v>1</v>
      </c>
      <c r="F54" s="10">
        <v>1.8</v>
      </c>
      <c r="G54" s="10">
        <v>2</v>
      </c>
      <c r="H54" s="10">
        <v>0.58370134506735194</v>
      </c>
      <c r="I54" s="10">
        <v>-1.4162986549326479</v>
      </c>
      <c r="J54" s="10">
        <v>0.1</v>
      </c>
      <c r="K54" s="10">
        <v>0.66666666666666663</v>
      </c>
      <c r="L54" s="10">
        <v>0.368567815444097</v>
      </c>
      <c r="M54" s="10">
        <v>0.36802079587964454</v>
      </c>
      <c r="N54" s="10">
        <v>8.5730182526329593E-2</v>
      </c>
      <c r="O54" s="10">
        <v>2.26418337516174</v>
      </c>
      <c r="P54" s="10">
        <v>2.2641833751617391</v>
      </c>
      <c r="Q54" s="10" t="s">
        <v>98</v>
      </c>
      <c r="R54" s="10">
        <v>0.70890274852986834</v>
      </c>
      <c r="S54" s="10">
        <v>1</v>
      </c>
      <c r="T54" s="7">
        <v>5.8913229969691416</v>
      </c>
      <c r="U54" s="7">
        <v>101.32500000000002</v>
      </c>
      <c r="V54" s="7">
        <v>261.9404944797588</v>
      </c>
      <c r="W54" s="7">
        <v>260.31522415856455</v>
      </c>
      <c r="X54" s="7">
        <v>260.31522415856466</v>
      </c>
      <c r="Y54" s="7">
        <v>231.32499999999999</v>
      </c>
      <c r="Z54" s="7">
        <v>231.32500000000002</v>
      </c>
      <c r="AA54" s="4">
        <v>0.56509281165748404</v>
      </c>
      <c r="AB54" s="4">
        <v>16349.88833555883</v>
      </c>
      <c r="AC54" s="4">
        <v>43.129792746823625</v>
      </c>
      <c r="AD54" s="4">
        <v>-0.33499715158581012</v>
      </c>
      <c r="AE54" s="4">
        <v>1.0175961035514351</v>
      </c>
      <c r="AF54" s="4">
        <v>1.1333875204051402E-7</v>
      </c>
      <c r="AG54" s="4">
        <v>6.800325122430841E-6</v>
      </c>
      <c r="AH54" s="4" t="s">
        <v>113</v>
      </c>
      <c r="AI54" s="4">
        <v>1.0002305224784822</v>
      </c>
      <c r="AJ54" s="4">
        <v>8.2691591018581323E-4</v>
      </c>
      <c r="AK54" s="4" t="s">
        <v>113</v>
      </c>
      <c r="AL54" s="4">
        <v>0.41827125382282976</v>
      </c>
      <c r="AM54" s="4">
        <v>0</v>
      </c>
      <c r="AN54" s="4" t="s">
        <v>99</v>
      </c>
      <c r="AO54" s="4" t="s">
        <v>134</v>
      </c>
      <c r="AP54" s="4" t="s">
        <v>15</v>
      </c>
      <c r="AQ54" s="4"/>
      <c r="AR54" s="10">
        <f t="shared" si="4"/>
        <v>1.7596103551435149</v>
      </c>
      <c r="AS54" s="10">
        <f t="shared" si="5"/>
        <v>0.11333875204051401</v>
      </c>
      <c r="AT54" s="10">
        <f t="shared" si="6"/>
        <v>6.8003251224308414</v>
      </c>
      <c r="AU54" s="10">
        <f t="shared" si="7"/>
        <v>0</v>
      </c>
    </row>
    <row r="55" spans="1:47" ht="18" customHeight="1">
      <c r="A55" s="4" t="s">
        <v>23</v>
      </c>
      <c r="B55" s="4" t="s">
        <v>156</v>
      </c>
      <c r="C55" s="9" t="b">
        <v>1</v>
      </c>
      <c r="D55" s="9" t="b">
        <v>0</v>
      </c>
      <c r="E55" s="10">
        <v>1</v>
      </c>
      <c r="F55" s="10">
        <v>1.8</v>
      </c>
      <c r="G55" s="10">
        <v>4</v>
      </c>
      <c r="H55" s="10">
        <v>0.58370130848703627</v>
      </c>
      <c r="I55" s="10">
        <v>-3.4162986915129636</v>
      </c>
      <c r="J55" s="10">
        <v>0.2</v>
      </c>
      <c r="K55" s="10">
        <v>0.8</v>
      </c>
      <c r="L55" s="10">
        <v>0.36856780085928331</v>
      </c>
      <c r="M55" s="10">
        <v>0.36802092653428026</v>
      </c>
      <c r="N55" s="10">
        <v>8.5730177153655426E-2</v>
      </c>
      <c r="O55" s="10">
        <v>2.2641830671644017</v>
      </c>
      <c r="P55" s="10">
        <v>2.2641830671644008</v>
      </c>
      <c r="Q55" s="10" t="s">
        <v>98</v>
      </c>
      <c r="R55" s="10">
        <v>0.70890278417146524</v>
      </c>
      <c r="S55" s="10">
        <v>1</v>
      </c>
      <c r="T55" s="7">
        <v>5.891320173917622</v>
      </c>
      <c r="U55" s="7">
        <v>101.32500000000002</v>
      </c>
      <c r="V55" s="7">
        <v>261.94047597911134</v>
      </c>
      <c r="W55" s="7">
        <v>260.31520573299804</v>
      </c>
      <c r="X55" s="7">
        <v>260.31520573299804</v>
      </c>
      <c r="Y55" s="7">
        <v>231.32499999999999</v>
      </c>
      <c r="Z55" s="7">
        <v>231.32500000000005</v>
      </c>
      <c r="AA55" s="4">
        <v>0.56511412479598799</v>
      </c>
      <c r="AB55" s="4">
        <v>16355.45978533121</v>
      </c>
      <c r="AC55" s="4">
        <v>43.226810363937602</v>
      </c>
      <c r="AD55" s="4">
        <v>-0.24453282156036948</v>
      </c>
      <c r="AE55" s="4">
        <v>1.0128092605478445</v>
      </c>
      <c r="AF55" s="4">
        <v>8.3961461873139229E-8</v>
      </c>
      <c r="AG55" s="4">
        <v>5.037687712388354E-6</v>
      </c>
      <c r="AH55" s="4" t="s">
        <v>113</v>
      </c>
      <c r="AI55" s="4">
        <v>1.0002305433149219</v>
      </c>
      <c r="AJ55" s="4">
        <v>8.2700770061902801E-4</v>
      </c>
      <c r="AK55" s="4" t="s">
        <v>113</v>
      </c>
      <c r="AL55" s="4">
        <v>0.41825877067464812</v>
      </c>
      <c r="AM55" s="4">
        <v>0</v>
      </c>
      <c r="AN55" s="4" t="s">
        <v>99</v>
      </c>
      <c r="AO55" s="4" t="s">
        <v>134</v>
      </c>
      <c r="AP55" s="4" t="s">
        <v>15</v>
      </c>
      <c r="AQ55" s="4"/>
      <c r="AR55" s="10">
        <f t="shared" si="4"/>
        <v>1.2809260547844481</v>
      </c>
      <c r="AS55" s="10">
        <f t="shared" si="5"/>
        <v>8.3961461873139229E-2</v>
      </c>
      <c r="AT55" s="10">
        <f t="shared" si="6"/>
        <v>5.0376877123883537</v>
      </c>
      <c r="AU55" s="10">
        <f t="shared" si="7"/>
        <v>0</v>
      </c>
    </row>
    <row r="56" spans="1:47" ht="18" customHeight="1">
      <c r="A56" s="4" t="s">
        <v>23</v>
      </c>
      <c r="B56" s="4" t="s">
        <v>157</v>
      </c>
      <c r="C56" s="9" t="b">
        <v>1</v>
      </c>
      <c r="D56" s="9" t="b">
        <v>0</v>
      </c>
      <c r="E56" s="10">
        <v>1</v>
      </c>
      <c r="F56" s="10">
        <v>1.8</v>
      </c>
      <c r="G56" s="10">
        <v>8</v>
      </c>
      <c r="H56" s="10">
        <v>0.58370134506735138</v>
      </c>
      <c r="I56" s="10">
        <v>-7.4162986549326488</v>
      </c>
      <c r="J56" s="10">
        <v>0.4</v>
      </c>
      <c r="K56" s="10">
        <v>0.88888888888888884</v>
      </c>
      <c r="L56" s="10">
        <v>0.36856781544409689</v>
      </c>
      <c r="M56" s="10">
        <v>0.36802079587964615</v>
      </c>
      <c r="N56" s="10">
        <v>8.5730182526329538E-2</v>
      </c>
      <c r="O56" s="10">
        <v>2.2641833751617431</v>
      </c>
      <c r="P56" s="10">
        <v>2.2641833751617426</v>
      </c>
      <c r="Q56" s="10" t="s">
        <v>98</v>
      </c>
      <c r="R56" s="10">
        <v>0.70890274852986934</v>
      </c>
      <c r="S56" s="10">
        <v>1</v>
      </c>
      <c r="T56" s="7">
        <v>5.8913229969690946</v>
      </c>
      <c r="U56" s="7">
        <v>101.32500000000002</v>
      </c>
      <c r="V56" s="7">
        <v>261.94049447975851</v>
      </c>
      <c r="W56" s="7">
        <v>260.31522415856432</v>
      </c>
      <c r="X56" s="7">
        <v>260.31522415856438</v>
      </c>
      <c r="Y56" s="7">
        <v>231.32499999999999</v>
      </c>
      <c r="Z56" s="7">
        <v>231.32500000000002</v>
      </c>
      <c r="AA56" s="4">
        <v>0.56509281165772463</v>
      </c>
      <c r="AB56" s="4">
        <v>16349.888335559117</v>
      </c>
      <c r="AC56" s="4">
        <v>43.129792746827491</v>
      </c>
      <c r="AD56" s="4">
        <v>-0.3349971515814758</v>
      </c>
      <c r="AE56" s="4">
        <v>1.0175961035512064</v>
      </c>
      <c r="AF56" s="4">
        <v>1.1333875203911396E-7</v>
      </c>
      <c r="AG56" s="4">
        <v>6.8003251223468382E-6</v>
      </c>
      <c r="AH56" s="4" t="s">
        <v>113</v>
      </c>
      <c r="AI56" s="4">
        <v>1.000230522478484</v>
      </c>
      <c r="AJ56" s="4">
        <v>8.2691591018499249E-4</v>
      </c>
      <c r="AK56" s="4" t="s">
        <v>113</v>
      </c>
      <c r="AL56" s="4">
        <v>0.4182712538226217</v>
      </c>
      <c r="AM56" s="4">
        <v>0</v>
      </c>
      <c r="AN56" s="4" t="s">
        <v>99</v>
      </c>
      <c r="AO56" s="4" t="s">
        <v>134</v>
      </c>
      <c r="AP56" s="4" t="s">
        <v>15</v>
      </c>
      <c r="AQ56" s="4"/>
      <c r="AR56" s="10">
        <f t="shared" si="4"/>
        <v>1.7596103551206443</v>
      </c>
      <c r="AS56" s="10">
        <f t="shared" si="5"/>
        <v>0.11333875203911396</v>
      </c>
      <c r="AT56" s="10">
        <f t="shared" si="6"/>
        <v>6.8003251223468384</v>
      </c>
      <c r="AU56" s="10">
        <f t="shared" si="7"/>
        <v>0</v>
      </c>
    </row>
  </sheetData>
  <mergeCells count="2">
    <mergeCell ref="A1:AS1"/>
    <mergeCell ref="A2:AS2"/>
  </mergeCells>
  <phoneticPr fontId="8" type="noConversion"/>
  <conditionalFormatting sqref="AP5:AP56">
    <cfRule type="containsText" dxfId="2" priority="1" operator="containsText" text="candidate_feasible"/>
    <cfRule type="containsText" dxfId="1" priority="2" operator="containsText" text="not_acceptable"/>
    <cfRule type="containsText" dxfId="0" priority="3" operator="containsText" text="risk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showGridLines="0" workbookViewId="0">
      <selection sqref="A1:L1"/>
    </sheetView>
  </sheetViews>
  <sheetFormatPr defaultRowHeight="13.8"/>
  <cols>
    <col min="1" max="1" width="22" customWidth="1"/>
    <col min="2" max="9" width="14" customWidth="1"/>
    <col min="10" max="12" width="26" customWidth="1"/>
  </cols>
  <sheetData>
    <row r="1" spans="1:18" ht="19.2" customHeight="1">
      <c r="A1" s="26" t="s">
        <v>158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8" ht="26.4" customHeight="1">
      <c r="A2" s="28" t="s">
        <v>159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N2" s="3" t="s">
        <v>2</v>
      </c>
      <c r="O2" s="3" t="s">
        <v>35</v>
      </c>
      <c r="P2" s="3" t="s">
        <v>160</v>
      </c>
      <c r="Q2" s="3" t="s">
        <v>36</v>
      </c>
      <c r="R2" s="3" t="s">
        <v>37</v>
      </c>
    </row>
    <row r="3" spans="1:18" ht="15" customHeight="1">
      <c r="N3" s="4" t="s">
        <v>6</v>
      </c>
      <c r="O3" s="10">
        <v>0.75784254548457919</v>
      </c>
      <c r="P3" s="10">
        <v>0</v>
      </c>
      <c r="Q3" s="10">
        <v>5.5840041816147448</v>
      </c>
      <c r="R3" s="10">
        <v>0</v>
      </c>
    </row>
    <row r="4" spans="1:18" ht="15" customHeight="1">
      <c r="A4" s="29" t="s">
        <v>161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N4" s="4" t="s">
        <v>10</v>
      </c>
      <c r="O4" s="10">
        <v>0.95345516687781773</v>
      </c>
      <c r="P4" s="10">
        <v>0</v>
      </c>
      <c r="Q4" s="10">
        <v>0.87767352143508504</v>
      </c>
      <c r="R4" s="10">
        <v>0</v>
      </c>
    </row>
    <row r="5" spans="1:18" ht="15" customHeight="1">
      <c r="A5" s="1" t="s">
        <v>162</v>
      </c>
      <c r="B5" s="25" t="s">
        <v>163</v>
      </c>
      <c r="C5" s="25"/>
      <c r="D5" s="25"/>
      <c r="E5" s="25"/>
      <c r="F5" s="25"/>
      <c r="G5" s="25"/>
      <c r="H5" s="25"/>
      <c r="I5" s="25"/>
      <c r="J5" s="25"/>
      <c r="K5" s="25"/>
      <c r="L5" s="25"/>
      <c r="N5" s="4" t="s">
        <v>13</v>
      </c>
      <c r="O5" s="10">
        <v>1.1276021664588292</v>
      </c>
      <c r="P5" s="10">
        <v>12.760216645882917</v>
      </c>
      <c r="Q5" s="10">
        <v>-2.3417860664874297</v>
      </c>
      <c r="R5" s="10">
        <v>50.932525402176729</v>
      </c>
    </row>
    <row r="6" spans="1:18" ht="15" customHeight="1">
      <c r="A6" s="1" t="s">
        <v>164</v>
      </c>
      <c r="B6" s="25" t="s">
        <v>165</v>
      </c>
      <c r="C6" s="25"/>
      <c r="D6" s="25"/>
      <c r="E6" s="25"/>
      <c r="F6" s="25"/>
      <c r="G6" s="25"/>
      <c r="H6" s="25"/>
      <c r="I6" s="25"/>
      <c r="J6" s="25"/>
      <c r="K6" s="25"/>
      <c r="L6" s="25"/>
      <c r="N6" s="4" t="s">
        <v>16</v>
      </c>
      <c r="O6" s="10">
        <v>1.1941517746453305</v>
      </c>
      <c r="P6" s="10">
        <v>19.415177464533052</v>
      </c>
      <c r="Q6" s="10">
        <v>-3.3974775498062968</v>
      </c>
      <c r="R6" s="10">
        <v>65.199610248891915</v>
      </c>
    </row>
    <row r="7" spans="1:18" ht="15" customHeight="1">
      <c r="A7" s="1" t="s">
        <v>166</v>
      </c>
      <c r="B7" s="25" t="s">
        <v>167</v>
      </c>
      <c r="C7" s="25"/>
      <c r="D7" s="25"/>
      <c r="E7" s="25"/>
      <c r="F7" s="25"/>
      <c r="G7" s="25"/>
      <c r="H7" s="25"/>
      <c r="I7" s="25"/>
      <c r="J7" s="25"/>
      <c r="K7" s="25"/>
      <c r="L7" s="25"/>
      <c r="N7" s="4" t="s">
        <v>19</v>
      </c>
      <c r="O7" s="10">
        <v>0.62426078829122955</v>
      </c>
      <c r="P7" s="10">
        <v>0</v>
      </c>
      <c r="Q7" s="10">
        <v>8.1805428359892431</v>
      </c>
      <c r="R7" s="10">
        <v>0</v>
      </c>
    </row>
    <row r="8" spans="1:18" ht="15" customHeight="1">
      <c r="A8" s="1" t="s">
        <v>168</v>
      </c>
      <c r="B8" s="25" t="s">
        <v>169</v>
      </c>
      <c r="C8" s="25"/>
      <c r="D8" s="25"/>
      <c r="E8" s="25"/>
      <c r="F8" s="25"/>
      <c r="G8" s="25"/>
      <c r="H8" s="25"/>
      <c r="I8" s="25"/>
      <c r="J8" s="25"/>
      <c r="K8" s="25"/>
      <c r="L8" s="25"/>
      <c r="N8" s="4" t="s">
        <v>22</v>
      </c>
      <c r="O8" s="10">
        <v>0.76622238737350268</v>
      </c>
      <c r="P8" s="10">
        <v>0</v>
      </c>
      <c r="Q8" s="10">
        <v>4.7106959555347956</v>
      </c>
      <c r="R8" s="10">
        <v>0</v>
      </c>
    </row>
    <row r="9" spans="1:18" ht="15" customHeight="1">
      <c r="N9" s="4" t="s">
        <v>25</v>
      </c>
      <c r="O9" s="10">
        <v>1.0062643148576287</v>
      </c>
      <c r="P9" s="10">
        <v>0.62643148576286833</v>
      </c>
      <c r="Q9" s="10">
        <v>-0.11392283830842587</v>
      </c>
      <c r="R9" s="10">
        <v>1.3144281290815252</v>
      </c>
    </row>
    <row r="10" spans="1:18" ht="15" customHeight="1">
      <c r="N10" s="4" t="s">
        <v>26</v>
      </c>
      <c r="O10" s="10">
        <v>1.0502503083638788</v>
      </c>
      <c r="P10" s="10">
        <v>5.0250308363878782</v>
      </c>
      <c r="Q10" s="10">
        <v>-0.928600710449075</v>
      </c>
      <c r="R10" s="10">
        <v>16.749861520264041</v>
      </c>
    </row>
    <row r="11" spans="1:18" ht="15" customHeight="1">
      <c r="A11" s="29" t="s">
        <v>170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</row>
    <row r="12" spans="1:18" ht="26.4" customHeight="1">
      <c r="A12" s="3" t="s">
        <v>28</v>
      </c>
      <c r="B12" s="3" t="s">
        <v>29</v>
      </c>
      <c r="C12" s="3" t="s">
        <v>171</v>
      </c>
      <c r="D12" s="3" t="s">
        <v>172</v>
      </c>
      <c r="E12" s="3" t="s">
        <v>80</v>
      </c>
      <c r="F12" s="3" t="s">
        <v>173</v>
      </c>
      <c r="G12" s="3" t="s">
        <v>174</v>
      </c>
      <c r="H12" s="3" t="s">
        <v>175</v>
      </c>
      <c r="I12" s="3" t="s">
        <v>176</v>
      </c>
      <c r="J12" s="3" t="s">
        <v>177</v>
      </c>
      <c r="K12" s="3" t="s">
        <v>178</v>
      </c>
      <c r="L12" s="3" t="s">
        <v>179</v>
      </c>
    </row>
    <row r="13" spans="1:18" ht="26.4" customHeight="1">
      <c r="A13" s="4" t="s">
        <v>20</v>
      </c>
      <c r="B13" s="10">
        <v>0.4</v>
      </c>
      <c r="C13" s="10">
        <v>0.35</v>
      </c>
      <c r="D13" s="10">
        <v>0.34999865019611576</v>
      </c>
      <c r="E13" s="10">
        <v>1.1276021664588292</v>
      </c>
      <c r="F13" s="10">
        <v>12.760216645882917</v>
      </c>
      <c r="G13" s="10">
        <v>-2.1779653439384248</v>
      </c>
      <c r="H13" s="10">
        <v>0.49848469788912098</v>
      </c>
      <c r="I13" s="10">
        <v>29.909081873347262</v>
      </c>
      <c r="J13" s="8" t="s">
        <v>113</v>
      </c>
      <c r="K13" s="8" t="s">
        <v>113</v>
      </c>
      <c r="L13" s="8" t="s">
        <v>15</v>
      </c>
    </row>
    <row r="14" spans="1:18" ht="26.4" customHeight="1">
      <c r="A14" s="4" t="s">
        <v>20</v>
      </c>
      <c r="B14" s="10">
        <v>0.4</v>
      </c>
      <c r="C14" s="10">
        <v>0.7</v>
      </c>
      <c r="D14" s="10">
        <v>0.69999332978203699</v>
      </c>
      <c r="E14" s="10">
        <v>1.1271373152671531</v>
      </c>
      <c r="F14" s="10">
        <v>12.713731526715311</v>
      </c>
      <c r="G14" s="10">
        <v>-2.3417860664874297</v>
      </c>
      <c r="H14" s="10">
        <v>0.84887542336961219</v>
      </c>
      <c r="I14" s="10">
        <v>50.932525402176729</v>
      </c>
      <c r="J14" s="8" t="s">
        <v>113</v>
      </c>
      <c r="K14" s="8" t="s">
        <v>113</v>
      </c>
      <c r="L14" s="8" t="s">
        <v>15</v>
      </c>
    </row>
    <row r="15" spans="1:18" ht="26.4" customHeight="1">
      <c r="A15" s="4" t="s">
        <v>20</v>
      </c>
      <c r="B15" s="10">
        <v>0.4</v>
      </c>
      <c r="C15" s="10">
        <v>1.0499999999999998</v>
      </c>
      <c r="D15" s="10">
        <v>1.0499822682086781</v>
      </c>
      <c r="E15" s="10">
        <v>1.0545384302518528</v>
      </c>
      <c r="F15" s="10">
        <v>5.4538430251852787</v>
      </c>
      <c r="G15" s="10">
        <v>-1.0913735088529251</v>
      </c>
      <c r="H15" s="10">
        <v>0.53706554005832863</v>
      </c>
      <c r="I15" s="10">
        <v>32.223932403499717</v>
      </c>
      <c r="J15" s="8" t="s">
        <v>113</v>
      </c>
      <c r="K15" s="8" t="s">
        <v>113</v>
      </c>
      <c r="L15" s="8" t="s">
        <v>15</v>
      </c>
    </row>
    <row r="16" spans="1:18" ht="26.4" customHeight="1">
      <c r="A16" s="4" t="s">
        <v>20</v>
      </c>
      <c r="B16" s="10">
        <v>1</v>
      </c>
      <c r="C16" s="10">
        <v>0.2</v>
      </c>
      <c r="D16" s="10">
        <v>0.19997126276271451</v>
      </c>
      <c r="E16" s="10">
        <v>1.165195722377476</v>
      </c>
      <c r="F16" s="10">
        <v>16.519572237747603</v>
      </c>
      <c r="G16" s="10">
        <v>-2.7217921980351178</v>
      </c>
      <c r="H16" s="10">
        <v>0.55694381526131276</v>
      </c>
      <c r="I16" s="10">
        <v>33.416628915678764</v>
      </c>
      <c r="J16" s="8" t="s">
        <v>113</v>
      </c>
      <c r="K16" s="8" t="s">
        <v>113</v>
      </c>
      <c r="L16" s="8" t="s">
        <v>15</v>
      </c>
    </row>
    <row r="17" spans="1:12" ht="26.4" customHeight="1">
      <c r="A17" s="4" t="s">
        <v>20</v>
      </c>
      <c r="B17" s="10">
        <v>1</v>
      </c>
      <c r="C17" s="10">
        <v>0.4</v>
      </c>
      <c r="D17" s="10">
        <v>0.39993326022200876</v>
      </c>
      <c r="E17" s="10">
        <v>1.1941517746453305</v>
      </c>
      <c r="F17" s="10">
        <v>19.415177464533052</v>
      </c>
      <c r="G17" s="10">
        <v>-3.3974775498062968</v>
      </c>
      <c r="H17" s="10">
        <v>1.0866601708148653</v>
      </c>
      <c r="I17" s="10">
        <v>65.199610248891915</v>
      </c>
      <c r="J17" s="8" t="s">
        <v>113</v>
      </c>
      <c r="K17" s="8" t="s">
        <v>113</v>
      </c>
      <c r="L17" s="8" t="s">
        <v>15</v>
      </c>
    </row>
    <row r="18" spans="1:12" ht="26.4" customHeight="1">
      <c r="A18" s="4" t="s">
        <v>20</v>
      </c>
      <c r="B18" s="10">
        <v>1</v>
      </c>
      <c r="C18" s="10">
        <v>0.60000000000000009</v>
      </c>
      <c r="D18" s="10">
        <v>0.59987634443103144</v>
      </c>
      <c r="E18" s="10">
        <v>1.1141615764180077</v>
      </c>
      <c r="F18" s="10">
        <v>11.416157641800773</v>
      </c>
      <c r="G18" s="10">
        <v>-2.1808146299812279</v>
      </c>
      <c r="H18" s="10">
        <v>0.95110897665403182</v>
      </c>
      <c r="I18" s="10">
        <v>57.066538599241909</v>
      </c>
      <c r="J18" s="8" t="s">
        <v>113</v>
      </c>
      <c r="K18" s="8" t="s">
        <v>113</v>
      </c>
      <c r="L18" s="8" t="s">
        <v>15</v>
      </c>
    </row>
    <row r="19" spans="1:12" ht="26.4" customHeight="1">
      <c r="A19" s="4" t="s">
        <v>20</v>
      </c>
      <c r="B19" s="10">
        <v>1</v>
      </c>
      <c r="C19" s="10">
        <v>0.8</v>
      </c>
      <c r="D19" s="10">
        <v>0.79982881251759397</v>
      </c>
      <c r="E19" s="10">
        <v>1.0232270785994553</v>
      </c>
      <c r="F19" s="10">
        <v>2.3227078599455275</v>
      </c>
      <c r="G19" s="10">
        <v>-0.48080667297024604</v>
      </c>
      <c r="H19" s="10">
        <v>0.26122150388310739</v>
      </c>
      <c r="I19" s="10">
        <v>15.673290232986444</v>
      </c>
      <c r="J19" s="8" t="s">
        <v>113</v>
      </c>
      <c r="K19" s="8" t="s">
        <v>113</v>
      </c>
      <c r="L19" s="8" t="s">
        <v>15</v>
      </c>
    </row>
    <row r="20" spans="1:12" ht="26.4" customHeight="1">
      <c r="A20" s="4" t="s">
        <v>23</v>
      </c>
      <c r="B20" s="10">
        <v>0.4</v>
      </c>
      <c r="C20" s="10">
        <v>0.5</v>
      </c>
      <c r="D20" s="10">
        <v>0.49987513049764964</v>
      </c>
      <c r="E20" s="10">
        <v>1.0062643148576287</v>
      </c>
      <c r="F20" s="10">
        <v>0.62643148576286833</v>
      </c>
      <c r="G20" s="10">
        <v>-0.11392283830842587</v>
      </c>
      <c r="H20" s="10">
        <v>2.1907135484692086E-2</v>
      </c>
      <c r="I20" s="10">
        <v>1.3144281290815252</v>
      </c>
      <c r="J20" s="8" t="s">
        <v>113</v>
      </c>
      <c r="K20" s="8" t="s">
        <v>113</v>
      </c>
      <c r="L20" s="8" t="s">
        <v>15</v>
      </c>
    </row>
    <row r="21" spans="1:12" ht="26.4" customHeight="1">
      <c r="A21" s="4" t="s">
        <v>23</v>
      </c>
      <c r="B21" s="10">
        <v>1</v>
      </c>
      <c r="C21" s="10">
        <v>0.5</v>
      </c>
      <c r="D21" s="10">
        <v>0.49892572711411076</v>
      </c>
      <c r="E21" s="10">
        <v>1.0502503083638788</v>
      </c>
      <c r="F21" s="10">
        <v>5.0250308363878782</v>
      </c>
      <c r="G21" s="10">
        <v>-0.928600710449075</v>
      </c>
      <c r="H21" s="10">
        <v>0.27916435867106737</v>
      </c>
      <c r="I21" s="10">
        <v>16.749861520264041</v>
      </c>
      <c r="J21" s="8" t="s">
        <v>113</v>
      </c>
      <c r="K21" s="8" t="s">
        <v>113</v>
      </c>
      <c r="L21" s="8" t="s">
        <v>15</v>
      </c>
    </row>
    <row r="22" spans="1:12" ht="26.4" customHeight="1">
      <c r="A22" s="4" t="s">
        <v>23</v>
      </c>
      <c r="B22" s="10">
        <v>1</v>
      </c>
      <c r="C22" s="10">
        <v>1</v>
      </c>
      <c r="D22" s="10">
        <v>0.58370136379538529</v>
      </c>
      <c r="E22" s="10">
        <v>1.0175959731612767</v>
      </c>
      <c r="F22" s="10">
        <v>1.7595973161276701</v>
      </c>
      <c r="G22" s="10">
        <v>-0.33499469442270424</v>
      </c>
      <c r="H22" s="10">
        <v>0.11333795697024086</v>
      </c>
      <c r="I22" s="10">
        <v>6.8002774182144519</v>
      </c>
      <c r="J22" s="8" t="s">
        <v>113</v>
      </c>
      <c r="K22" s="8" t="s">
        <v>113</v>
      </c>
      <c r="L22" s="8" t="s">
        <v>15</v>
      </c>
    </row>
    <row r="23" spans="1:12" ht="26.4" customHeight="1">
      <c r="A23" s="4" t="s">
        <v>23</v>
      </c>
      <c r="B23" s="10">
        <v>1</v>
      </c>
      <c r="C23" s="10">
        <v>2</v>
      </c>
      <c r="D23" s="10">
        <v>0.58370134506735194</v>
      </c>
      <c r="E23" s="10">
        <v>1.0175961035514351</v>
      </c>
      <c r="F23" s="10">
        <v>1.7596103551435149</v>
      </c>
      <c r="G23" s="10">
        <v>-0.33499715158581012</v>
      </c>
      <c r="H23" s="10">
        <v>0.11333875204051401</v>
      </c>
      <c r="I23" s="10">
        <v>6.8003251224308414</v>
      </c>
      <c r="J23" s="8" t="s">
        <v>113</v>
      </c>
      <c r="K23" s="8" t="s">
        <v>113</v>
      </c>
      <c r="L23" s="8" t="s">
        <v>15</v>
      </c>
    </row>
    <row r="24" spans="1:12" ht="26.4" customHeight="1">
      <c r="A24" s="4" t="s">
        <v>23</v>
      </c>
      <c r="B24" s="10">
        <v>1</v>
      </c>
      <c r="C24" s="10">
        <v>4</v>
      </c>
      <c r="D24" s="10">
        <v>0.58370130848703627</v>
      </c>
      <c r="E24" s="10">
        <v>1.0128092605478445</v>
      </c>
      <c r="F24" s="10">
        <v>1.2809260547844481</v>
      </c>
      <c r="G24" s="10">
        <v>-0.24453282156036948</v>
      </c>
      <c r="H24" s="10">
        <v>8.3961461873139229E-2</v>
      </c>
      <c r="I24" s="10">
        <v>5.0376877123883537</v>
      </c>
      <c r="J24" s="8" t="s">
        <v>113</v>
      </c>
      <c r="K24" s="8" t="s">
        <v>113</v>
      </c>
      <c r="L24" s="8" t="s">
        <v>15</v>
      </c>
    </row>
    <row r="25" spans="1:12" ht="26.4" customHeight="1">
      <c r="A25" s="4" t="s">
        <v>23</v>
      </c>
      <c r="B25" s="10">
        <v>1</v>
      </c>
      <c r="C25" s="10">
        <v>8</v>
      </c>
      <c r="D25" s="10">
        <v>0.58370134506735138</v>
      </c>
      <c r="E25" s="10">
        <v>1.0175961035512064</v>
      </c>
      <c r="F25" s="10">
        <v>1.7596103551206443</v>
      </c>
      <c r="G25" s="10">
        <v>-0.3349971515814758</v>
      </c>
      <c r="H25" s="10">
        <v>0.11333875203911396</v>
      </c>
      <c r="I25" s="10">
        <v>6.8003251223468384</v>
      </c>
      <c r="J25" s="8" t="s">
        <v>113</v>
      </c>
      <c r="K25" s="8" t="s">
        <v>113</v>
      </c>
      <c r="L25" s="8" t="s">
        <v>15</v>
      </c>
    </row>
  </sheetData>
  <mergeCells count="8">
    <mergeCell ref="B7:L7"/>
    <mergeCell ref="B8:L8"/>
    <mergeCell ref="A11:L11"/>
    <mergeCell ref="A1:L1"/>
    <mergeCell ref="A2:L2"/>
    <mergeCell ref="A4:L4"/>
    <mergeCell ref="B5:L5"/>
    <mergeCell ref="B6:L6"/>
  </mergeCells>
  <phoneticPr fontId="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"/>
  <sheetViews>
    <sheetView showGridLines="0" tabSelected="1" workbookViewId="0">
      <selection sqref="A1:L1"/>
    </sheetView>
  </sheetViews>
  <sheetFormatPr defaultRowHeight="13.8"/>
  <cols>
    <col min="1" max="1" width="22" customWidth="1"/>
    <col min="2" max="12" width="14" customWidth="1"/>
  </cols>
  <sheetData>
    <row r="1" spans="1:12" ht="19.2" customHeight="1">
      <c r="A1" s="26" t="s">
        <v>180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5" customHeight="1">
      <c r="A2" s="28" t="s">
        <v>181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4" spans="1:12" ht="15" customHeight="1">
      <c r="A4" s="29" t="s">
        <v>182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</row>
    <row r="5" spans="1:12" ht="15" customHeight="1">
      <c r="A5" s="1" t="s">
        <v>183</v>
      </c>
      <c r="B5" s="25" t="s">
        <v>184</v>
      </c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2" ht="15" customHeight="1">
      <c r="A6" s="1" t="s">
        <v>185</v>
      </c>
      <c r="B6" s="25" t="s">
        <v>186</v>
      </c>
      <c r="C6" s="25"/>
      <c r="D6" s="25"/>
      <c r="E6" s="25"/>
      <c r="F6" s="25"/>
      <c r="G6" s="25"/>
      <c r="H6" s="25"/>
      <c r="I6" s="25"/>
      <c r="J6" s="25"/>
      <c r="K6" s="25"/>
      <c r="L6" s="25"/>
    </row>
    <row r="7" spans="1:12" ht="15" customHeight="1">
      <c r="A7" s="1" t="s">
        <v>187</v>
      </c>
      <c r="B7" s="25" t="s">
        <v>188</v>
      </c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2" ht="15" customHeight="1">
      <c r="A8" s="1" t="s">
        <v>189</v>
      </c>
      <c r="B8" s="25" t="s">
        <v>190</v>
      </c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2" ht="15" customHeight="1">
      <c r="A9" s="1" t="s">
        <v>191</v>
      </c>
      <c r="B9" s="25" t="s">
        <v>192</v>
      </c>
      <c r="C9" s="25"/>
      <c r="D9" s="25"/>
      <c r="E9" s="25"/>
      <c r="F9" s="25"/>
      <c r="G9" s="25"/>
      <c r="H9" s="25"/>
      <c r="I9" s="25"/>
      <c r="J9" s="25"/>
      <c r="K9" s="25"/>
      <c r="L9" s="25"/>
    </row>
    <row r="10" spans="1:12" ht="15" customHeight="1">
      <c r="A10" s="1" t="s">
        <v>193</v>
      </c>
      <c r="B10" s="25" t="s">
        <v>194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</row>
    <row r="11" spans="1:12" ht="15" customHeight="1">
      <c r="A11" s="1" t="s">
        <v>195</v>
      </c>
      <c r="B11" s="25" t="s">
        <v>196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</row>
    <row r="12" spans="1:12" ht="15" customHeight="1">
      <c r="A12" s="1" t="s">
        <v>197</v>
      </c>
      <c r="B12" s="25" t="s">
        <v>198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</row>
    <row r="13" spans="1:12" ht="15" customHeight="1">
      <c r="A13" s="1" t="s">
        <v>199</v>
      </c>
      <c r="B13" s="25" t="s">
        <v>200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2" ht="15" customHeight="1">
      <c r="A14" s="1" t="s">
        <v>201</v>
      </c>
      <c r="B14" s="25" t="s">
        <v>202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2" ht="15" customHeight="1">
      <c r="A15" s="1" t="s">
        <v>201</v>
      </c>
      <c r="B15" s="25" t="s">
        <v>203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spans="1:12">
      <c r="A16" t="s">
        <v>204</v>
      </c>
      <c r="B16" t="s">
        <v>205</v>
      </c>
    </row>
    <row r="17" spans="1:12">
      <c r="A17" t="s">
        <v>206</v>
      </c>
      <c r="B17" t="s">
        <v>207</v>
      </c>
    </row>
    <row r="18" spans="1:12" ht="15" customHeight="1">
      <c r="A18" s="29" t="s">
        <v>208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</row>
    <row r="19" spans="1:12" ht="15" customHeight="1">
      <c r="A19" s="11" t="s">
        <v>209</v>
      </c>
      <c r="B19" s="25" t="s">
        <v>210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spans="1:12" ht="15" customHeight="1">
      <c r="A20" s="11" t="s">
        <v>211</v>
      </c>
      <c r="B20" s="25" t="s">
        <v>212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</row>
    <row r="21" spans="1:12" ht="15" customHeight="1">
      <c r="A21" s="11" t="s">
        <v>213</v>
      </c>
      <c r="B21" s="25" t="s">
        <v>214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</row>
    <row r="22" spans="1:12" ht="15" customHeight="1">
      <c r="A22" s="11" t="s">
        <v>215</v>
      </c>
      <c r="B22" s="25" t="s">
        <v>216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</row>
  </sheetData>
  <mergeCells count="19">
    <mergeCell ref="A1:L1"/>
    <mergeCell ref="A2:L2"/>
    <mergeCell ref="A4:L4"/>
    <mergeCell ref="B5:L5"/>
    <mergeCell ref="B6:L6"/>
    <mergeCell ref="B7:L7"/>
    <mergeCell ref="B8:L8"/>
    <mergeCell ref="B9:L9"/>
    <mergeCell ref="B10:L10"/>
    <mergeCell ref="B11:L11"/>
    <mergeCell ref="B19:L19"/>
    <mergeCell ref="B20:L20"/>
    <mergeCell ref="B21:L21"/>
    <mergeCell ref="B22:L22"/>
    <mergeCell ref="B12:L12"/>
    <mergeCell ref="B13:L13"/>
    <mergeCell ref="B14:L14"/>
    <mergeCell ref="B15:L15"/>
    <mergeCell ref="A18:L18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"/>
  <sheetViews>
    <sheetView showGridLines="0" zoomScale="25" zoomScaleNormal="25" workbookViewId="0">
      <selection sqref="A1:F1"/>
    </sheetView>
  </sheetViews>
  <sheetFormatPr defaultRowHeight="13.8"/>
  <cols>
    <col min="1" max="1" width="24" customWidth="1"/>
    <col min="2" max="4" width="34" customWidth="1"/>
    <col min="5" max="5" width="30" customWidth="1"/>
    <col min="6" max="6" width="34" customWidth="1"/>
  </cols>
  <sheetData>
    <row r="1" spans="1:6">
      <c r="A1" s="23" t="s">
        <v>217</v>
      </c>
      <c r="B1" s="23"/>
      <c r="C1" s="23"/>
      <c r="D1" s="23"/>
      <c r="E1" s="23"/>
      <c r="F1" s="23"/>
    </row>
    <row r="2" spans="1:6" ht="42" customHeight="1">
      <c r="A2" s="24" t="s">
        <v>218</v>
      </c>
      <c r="B2" s="24"/>
      <c r="C2" s="24"/>
      <c r="D2" s="24"/>
      <c r="E2" s="24"/>
      <c r="F2" s="24"/>
    </row>
    <row r="3" spans="1:6">
      <c r="A3" s="12"/>
      <c r="B3" s="12"/>
      <c r="C3" s="12"/>
      <c r="D3" s="12"/>
      <c r="E3" s="12"/>
      <c r="F3" s="12"/>
    </row>
    <row r="4" spans="1:6">
      <c r="A4" s="16" t="s">
        <v>219</v>
      </c>
      <c r="B4" s="16"/>
      <c r="C4" s="16"/>
      <c r="D4" s="16"/>
      <c r="E4" s="16"/>
      <c r="F4" s="16"/>
    </row>
    <row r="5" spans="1:6">
      <c r="A5" s="13" t="s">
        <v>28</v>
      </c>
      <c r="B5" s="13" t="s">
        <v>220</v>
      </c>
      <c r="C5" s="13" t="s">
        <v>221</v>
      </c>
      <c r="D5" s="13" t="s">
        <v>222</v>
      </c>
      <c r="E5" s="13" t="s">
        <v>223</v>
      </c>
      <c r="F5" s="13" t="s">
        <v>224</v>
      </c>
    </row>
    <row r="6" spans="1:6" ht="42" customHeight="1">
      <c r="A6" s="8" t="s">
        <v>189</v>
      </c>
      <c r="B6" s="8" t="s">
        <v>225</v>
      </c>
      <c r="C6" s="8" t="s">
        <v>226</v>
      </c>
      <c r="D6" s="8" t="s">
        <v>227</v>
      </c>
      <c r="E6" s="8" t="s">
        <v>228</v>
      </c>
      <c r="F6" s="8" t="s">
        <v>229</v>
      </c>
    </row>
    <row r="7" spans="1:6" ht="42" customHeight="1">
      <c r="A7" s="8" t="s">
        <v>191</v>
      </c>
      <c r="B7" s="8" t="s">
        <v>230</v>
      </c>
      <c r="C7" s="8" t="s">
        <v>231</v>
      </c>
      <c r="D7" s="8" t="s">
        <v>232</v>
      </c>
      <c r="E7" s="8" t="s">
        <v>233</v>
      </c>
      <c r="F7" s="8" t="s">
        <v>229</v>
      </c>
    </row>
    <row r="8" spans="1:6">
      <c r="A8" s="12"/>
      <c r="B8" s="12"/>
      <c r="C8" s="12"/>
      <c r="D8" s="12"/>
      <c r="E8" s="12"/>
      <c r="F8" s="12"/>
    </row>
    <row r="9" spans="1:6">
      <c r="A9" s="16" t="s">
        <v>234</v>
      </c>
      <c r="B9" s="16"/>
      <c r="C9" s="16"/>
      <c r="D9" s="16"/>
      <c r="E9" s="16"/>
      <c r="F9" s="16"/>
    </row>
    <row r="10" spans="1:6">
      <c r="A10" s="13" t="s">
        <v>235</v>
      </c>
      <c r="B10" s="13" t="s">
        <v>236</v>
      </c>
      <c r="C10" s="13" t="s">
        <v>237</v>
      </c>
      <c r="D10" s="12"/>
      <c r="E10" s="12"/>
      <c r="F10" s="12"/>
    </row>
    <row r="11" spans="1:6">
      <c r="A11" s="14">
        <v>0</v>
      </c>
      <c r="B11" s="15">
        <f t="shared" ref="B11:B18" si="0">A11/(1+A11)</f>
        <v>0</v>
      </c>
      <c r="C11" s="8" t="s">
        <v>238</v>
      </c>
      <c r="D11" s="12"/>
      <c r="E11" s="12"/>
      <c r="F11" s="12"/>
    </row>
    <row r="12" spans="1:6" ht="27.6">
      <c r="A12" s="14">
        <v>0.1</v>
      </c>
      <c r="B12" s="15">
        <f t="shared" si="0"/>
        <v>9.0909090909090912E-2</v>
      </c>
      <c r="C12" s="8" t="s">
        <v>239</v>
      </c>
      <c r="D12" s="12"/>
      <c r="E12" s="12"/>
      <c r="F12" s="12"/>
    </row>
    <row r="13" spans="1:6" ht="27.6">
      <c r="A13" s="14">
        <v>0.5</v>
      </c>
      <c r="B13" s="15">
        <f t="shared" si="0"/>
        <v>0.33333333333333331</v>
      </c>
      <c r="C13" s="8" t="s">
        <v>240</v>
      </c>
      <c r="D13" s="12"/>
      <c r="E13" s="12"/>
      <c r="F13" s="12"/>
    </row>
    <row r="14" spans="1:6" ht="27.6">
      <c r="A14" s="14">
        <v>1</v>
      </c>
      <c r="B14" s="15">
        <f t="shared" si="0"/>
        <v>0.5</v>
      </c>
      <c r="C14" s="8" t="s">
        <v>241</v>
      </c>
      <c r="D14" s="12"/>
      <c r="E14" s="12"/>
      <c r="F14" s="12"/>
    </row>
    <row r="15" spans="1:6" ht="27.6">
      <c r="A15" s="14">
        <v>2</v>
      </c>
      <c r="B15" s="15">
        <f t="shared" si="0"/>
        <v>0.66666666666666663</v>
      </c>
      <c r="C15" s="8" t="s">
        <v>242</v>
      </c>
      <c r="D15" s="12"/>
      <c r="E15" s="12"/>
      <c r="F15" s="12"/>
    </row>
    <row r="16" spans="1:6" ht="27.6">
      <c r="A16" s="14">
        <v>3</v>
      </c>
      <c r="B16" s="15">
        <f t="shared" si="0"/>
        <v>0.75</v>
      </c>
      <c r="C16" s="8" t="s">
        <v>243</v>
      </c>
      <c r="D16" s="12"/>
      <c r="E16" s="12"/>
      <c r="F16" s="12"/>
    </row>
    <row r="17" spans="1:6" ht="27.6">
      <c r="A17" s="14">
        <v>4</v>
      </c>
      <c r="B17" s="15">
        <f t="shared" si="0"/>
        <v>0.8</v>
      </c>
      <c r="C17" s="8" t="s">
        <v>244</v>
      </c>
      <c r="D17" s="12"/>
      <c r="E17" s="12"/>
      <c r="F17" s="12"/>
    </row>
    <row r="18" spans="1:6" ht="27.6">
      <c r="A18" s="14">
        <v>8</v>
      </c>
      <c r="B18" s="15">
        <f t="shared" si="0"/>
        <v>0.88888888888888884</v>
      </c>
      <c r="C18" s="8" t="s">
        <v>245</v>
      </c>
      <c r="D18" s="12"/>
      <c r="E18" s="12"/>
      <c r="F18" s="12"/>
    </row>
    <row r="19" spans="1:6">
      <c r="A19" s="12"/>
      <c r="B19" s="12"/>
      <c r="C19" s="12"/>
      <c r="D19" s="12"/>
      <c r="E19" s="12"/>
      <c r="F19" s="12"/>
    </row>
    <row r="20" spans="1:6">
      <c r="A20" s="16" t="s">
        <v>246</v>
      </c>
      <c r="B20" s="16"/>
      <c r="C20" s="16"/>
      <c r="D20" s="16"/>
      <c r="E20" s="16"/>
      <c r="F20" s="16"/>
    </row>
    <row r="21" spans="1:6">
      <c r="A21" s="13" t="s">
        <v>247</v>
      </c>
      <c r="B21" s="13" t="s">
        <v>248</v>
      </c>
      <c r="C21" s="13" t="s">
        <v>249</v>
      </c>
      <c r="D21" s="13" t="s">
        <v>250</v>
      </c>
      <c r="E21" s="13" t="s">
        <v>251</v>
      </c>
      <c r="F21" s="13" t="s">
        <v>252</v>
      </c>
    </row>
    <row r="22" spans="1:6" ht="42" customHeight="1">
      <c r="A22" s="8" t="s">
        <v>253</v>
      </c>
      <c r="B22" s="8" t="s">
        <v>254</v>
      </c>
      <c r="C22" s="8" t="s">
        <v>255</v>
      </c>
      <c r="D22" s="8" t="s">
        <v>69</v>
      </c>
      <c r="E22" s="8" t="s">
        <v>256</v>
      </c>
      <c r="F22" s="8" t="s">
        <v>257</v>
      </c>
    </row>
    <row r="23" spans="1:6" ht="42" customHeight="1">
      <c r="A23" s="8" t="s">
        <v>258</v>
      </c>
      <c r="B23" s="8" t="s">
        <v>259</v>
      </c>
      <c r="C23" s="8" t="s">
        <v>260</v>
      </c>
      <c r="D23" s="8" t="s">
        <v>68</v>
      </c>
      <c r="E23" s="8" t="s">
        <v>261</v>
      </c>
      <c r="F23" s="8" t="s">
        <v>262</v>
      </c>
    </row>
    <row r="24" spans="1:6" ht="42" customHeight="1">
      <c r="A24" s="8" t="s">
        <v>263</v>
      </c>
      <c r="B24" s="8" t="s">
        <v>264</v>
      </c>
      <c r="C24" s="8" t="s">
        <v>265</v>
      </c>
      <c r="D24" s="8" t="s">
        <v>266</v>
      </c>
      <c r="E24" s="8" t="s">
        <v>267</v>
      </c>
      <c r="F24" s="8" t="s">
        <v>268</v>
      </c>
    </row>
    <row r="25" spans="1:6" ht="42" customHeight="1">
      <c r="A25" s="8" t="s">
        <v>269</v>
      </c>
      <c r="B25" s="8" t="s">
        <v>270</v>
      </c>
      <c r="C25" s="8" t="s">
        <v>271</v>
      </c>
      <c r="D25" s="8" t="s">
        <v>272</v>
      </c>
      <c r="E25" s="8" t="s">
        <v>273</v>
      </c>
      <c r="F25" s="8" t="s">
        <v>274</v>
      </c>
    </row>
    <row r="26" spans="1:6">
      <c r="A26" s="12"/>
      <c r="B26" s="12"/>
      <c r="C26" s="12"/>
      <c r="D26" s="12"/>
      <c r="E26" s="12"/>
      <c r="F26" s="12"/>
    </row>
    <row r="27" spans="1:6">
      <c r="A27" s="16" t="s">
        <v>275</v>
      </c>
      <c r="B27" s="16"/>
      <c r="C27" s="16"/>
      <c r="D27" s="16"/>
      <c r="E27" s="16"/>
      <c r="F27" s="16"/>
    </row>
    <row r="28" spans="1:6">
      <c r="A28" s="13" t="s">
        <v>276</v>
      </c>
      <c r="B28" s="13" t="s">
        <v>277</v>
      </c>
      <c r="C28" s="13" t="s">
        <v>278</v>
      </c>
      <c r="D28" s="13" t="s">
        <v>279</v>
      </c>
      <c r="E28" s="13" t="s">
        <v>280</v>
      </c>
      <c r="F28" s="13" t="s">
        <v>281</v>
      </c>
    </row>
    <row r="29" spans="1:6" ht="42" customHeight="1">
      <c r="A29" s="8" t="s">
        <v>282</v>
      </c>
      <c r="B29" s="8" t="s">
        <v>283</v>
      </c>
      <c r="C29" s="8" t="s">
        <v>55</v>
      </c>
      <c r="D29" s="8" t="s">
        <v>284</v>
      </c>
      <c r="E29" s="8" t="s">
        <v>285</v>
      </c>
      <c r="F29" s="8" t="s">
        <v>286</v>
      </c>
    </row>
    <row r="30" spans="1:6" ht="42" customHeight="1">
      <c r="A30" s="8" t="s">
        <v>287</v>
      </c>
      <c r="B30" s="8" t="s">
        <v>288</v>
      </c>
      <c r="C30" s="8" t="s">
        <v>289</v>
      </c>
      <c r="D30" s="8" t="s">
        <v>290</v>
      </c>
      <c r="E30" s="8" t="s">
        <v>291</v>
      </c>
      <c r="F30" s="8" t="s">
        <v>292</v>
      </c>
    </row>
    <row r="31" spans="1:6" ht="42" customHeight="1">
      <c r="A31" s="8" t="s">
        <v>293</v>
      </c>
      <c r="B31" s="8" t="s">
        <v>288</v>
      </c>
      <c r="C31" s="8" t="s">
        <v>294</v>
      </c>
      <c r="D31" s="8" t="s">
        <v>295</v>
      </c>
      <c r="E31" s="8" t="s">
        <v>296</v>
      </c>
      <c r="F31" s="8" t="s">
        <v>297</v>
      </c>
    </row>
    <row r="32" spans="1:6" ht="42" customHeight="1">
      <c r="A32" s="8" t="s">
        <v>298</v>
      </c>
      <c r="B32" s="8" t="s">
        <v>299</v>
      </c>
      <c r="C32" s="8" t="s">
        <v>300</v>
      </c>
      <c r="D32" s="8" t="s">
        <v>301</v>
      </c>
      <c r="E32" s="8" t="s">
        <v>302</v>
      </c>
      <c r="F32" s="8" t="s">
        <v>303</v>
      </c>
    </row>
    <row r="33" spans="1:6">
      <c r="A33" s="12"/>
      <c r="B33" s="12"/>
      <c r="C33" s="12"/>
      <c r="D33" s="12"/>
      <c r="E33" s="12"/>
      <c r="F33" s="12"/>
    </row>
    <row r="34" spans="1:6" ht="42" customHeight="1">
      <c r="A34" s="17" t="s">
        <v>304</v>
      </c>
      <c r="B34" s="18"/>
      <c r="C34" s="18"/>
      <c r="D34" s="18"/>
      <c r="E34" s="18"/>
      <c r="F34" s="19"/>
    </row>
    <row r="35" spans="1:6">
      <c r="A35" s="20"/>
      <c r="B35" s="21"/>
      <c r="C35" s="21"/>
      <c r="D35" s="21"/>
      <c r="E35" s="21"/>
      <c r="F35" s="22"/>
    </row>
  </sheetData>
  <mergeCells count="7">
    <mergeCell ref="A27:F27"/>
    <mergeCell ref="A34:F35"/>
    <mergeCell ref="A1:F1"/>
    <mergeCell ref="A2:F2"/>
    <mergeCell ref="A4:F4"/>
    <mergeCell ref="A9:F9"/>
    <mergeCell ref="A20:F20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技术结论</vt:lpstr>
      <vt:lpstr>审计明细</vt:lpstr>
      <vt:lpstr>冷凝机制</vt:lpstr>
      <vt:lpstr>方法与边界</vt:lpstr>
      <vt:lpstr>控制与回流能力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吴俊樑</dc:creator>
  <cp:lastModifiedBy>俊樑 吴</cp:lastModifiedBy>
  <dcterms:created xsi:type="dcterms:W3CDTF">2026-08-18T10:55:42Z</dcterms:created>
  <dcterms:modified xsi:type="dcterms:W3CDTF">2026-08-18T10:55:42Z</dcterms:modified>
</cp:coreProperties>
</file>