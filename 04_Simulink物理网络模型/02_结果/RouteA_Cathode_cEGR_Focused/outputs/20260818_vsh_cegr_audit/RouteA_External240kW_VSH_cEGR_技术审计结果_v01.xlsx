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497656ad6de4a36" /></Relationships>
</file>

<file path=xl/workbook.xml><?xml version="1.0" encoding="utf-8"?>
<x:workbook xmlns:x="http://schemas.openxmlformats.org/spreadsheetml/2006/main">
  <x:sheets>
    <x:sheet xmlns:r="http://schemas.openxmlformats.org/officeDocument/2006/relationships" name="技术结论" sheetId="1" r:id="R895bd98521ef4d4d"/>
    <x:sheet xmlns:r="http://schemas.openxmlformats.org/officeDocument/2006/relationships" name="审计明细" sheetId="2" r:id="Rb1df60314b0d457b"/>
    <x:sheet xmlns:r="http://schemas.openxmlformats.org/officeDocument/2006/relationships" name="冷凝机制" sheetId="3" r:id="Rd161146886b042f3"/>
    <x:sheet xmlns:r="http://schemas.openxmlformats.org/officeDocument/2006/relationships" name="方法与边界" sheetId="4" r:id="Rb8280486008b42e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
    <x:numFmt numFmtId="202" formatCode="0.000"/>
    <x:numFmt numFmtId="203" formatCode="0.0000"/>
  </x:numFmts>
  <x:fonts count="6">
    <x:font>
      <x:sz val="11"/>
      <x:name val="Carlito"/>
    </x:font>
    <x:font>
      <x:b/>
      <x:sz val="16"/>
      <x:color rgb="FFFFFFFF"/>
      <x:name val="Carlito"/>
    </x:font>
    <x:font>
      <x:i/>
      <x:sz val="11"/>
      <x:color rgb="FF1F2937"/>
      <x:name val="Carlito"/>
    </x:font>
    <x:font>
      <x:b/>
      <x:sz val="11"/>
      <x:color rgb="FFFFFFFF"/>
      <x:name val="Carlito"/>
    </x:font>
    <x:font>
      <x:b/>
      <x:sz val="11"/>
      <x:name val="Carlito"/>
    </x:font>
    <x:font>
      <x:b/>
      <x:sz val="11"/>
      <x:color rgb="FF17365D"/>
      <x:name val="Carlito"/>
    </x:font>
  </x:fonts>
  <x:fills count="8">
    <x:fill>
      <x:patternFill patternType="none"/>
    </x:fill>
    <x:fill>
      <x:patternFill patternType="gray125"/>
    </x:fill>
    <x:fill>
      <x:patternFill patternType="solid">
        <x:fgColor rgb="FF17365D"/>
      </x:patternFill>
    </x:fill>
    <x:fill>
      <x:patternFill patternType="solid">
        <x:fgColor rgb="FFEAF2F8"/>
      </x:patternFill>
    </x:fill>
    <x:fill>
      <x:patternFill patternType="solid">
        <x:fgColor rgb="FF0F766E"/>
      </x:patternFill>
    </x:fill>
    <x:fill>
      <x:patternFill patternType="solid">
        <x:fgColor rgb="FFF2F2F2"/>
      </x:patternFill>
    </x:fill>
    <x:fill>
      <x:patternFill patternType="solid">
        <x:fgColor rgb="FFE7F4F2"/>
      </x:patternFill>
    </x:fill>
    <x:fill>
      <x:patternFill patternType="solid">
        <x:fgColor rgb="FFFFF2CC"/>
      </x:patternFill>
    </x:fill>
  </x:fills>
  <x:borders count="2">
    <x:border/>
    <x:border>
      <x:left style="thin">
        <x:color rgb="FFD1D5DB"/>
      </x:left>
      <x:right style="thin">
        <x:color rgb="FFD1D5DB"/>
      </x:right>
      <x:top style="thin">
        <x:color rgb="FFD1D5DB"/>
      </x:top>
      <x:bottom style="thin">
        <x:color rgb="FFD1D5DB"/>
      </x:bottom>
    </x:border>
  </x:borders>
  <x:cellStyleXfs count="1">
    <x:xf numFmtId="0" fontId="0" fillId="0" borderId="0"/>
  </x:cellStyleXfs>
  <x:cellXfs count="3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0" fillId="6" borderId="0" xfId="0" applyNumberFormat="1" applyFont="1" applyFill="1" applyBorder="1"/>
    <x:xf numFmtId="0" fontId="5" fillId="6" borderId="0" xfId="0" applyNumberFormat="1" applyFont="1" applyFill="1" applyBorder="1"/>
    <x:xf numFmtId="0" fontId="5" fillId="6" borderId="1" xfId="0" applyNumberFormat="1" applyFont="1" applyFill="1" applyBorder="1"/>
    <x:xf numFmtId="200" fontId="5" fillId="6" borderId="1" xfId="0" applyNumberFormat="1" applyFont="1" applyFill="1" applyBorder="1"/>
    <x:xf numFmtId="200" fontId="5" fillId="6" borderId="1" xfId="0" applyNumberFormat="1" applyFont="1" applyFill="1" applyBorder="1" applyAlignment="1">
      <x:alignment horizontal="center"/>
    </x:xf>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1" xfId="0" applyNumberFormat="1" applyFont="1" applyFill="1" applyBorder="1"/>
    <x:xf numFmtId="0" fontId="0" fillId="0" borderId="1" xfId="0" applyNumberFormat="1" applyFont="1" applyFill="1" applyBorder="1" applyAlignment="1">
      <x:alignment vertical="center"/>
    </x:xf>
    <x:xf numFmtId="200" fontId="0" fillId="0" borderId="1" xfId="0" applyNumberFormat="1" applyFont="1" applyFill="1" applyBorder="1" applyAlignment="1">
      <x:alignment vertical="center"/>
    </x:xf>
    <x:xf numFmtId="201" fontId="0" fillId="0" borderId="1" xfId="0" applyNumberFormat="1" applyFont="1" applyFill="1" applyBorder="1" applyAlignment="1">
      <x:alignment vertical="center"/>
    </x:xf>
    <x:xf numFmtId="202" fontId="0" fillId="0" borderId="1" xfId="0" applyNumberFormat="1" applyFont="1" applyFill="1" applyBorder="1" applyAlignment="1">
      <x:alignment vertical="center"/>
    </x:xf>
    <x:xf numFmtId="0" fontId="0" fillId="0" borderId="1" xfId="0" applyNumberFormat="1" applyFont="1" applyFill="1" applyBorder="1" applyAlignment="1">
      <x:alignment vertical="center" wrapText="1"/>
    </x:xf>
    <x:xf numFmtId="0" fontId="0" fillId="0" borderId="1" xfId="0" applyNumberFormat="1" applyFont="1" applyFill="1" applyBorder="1" applyAlignment="1">
      <x:alignment wrapText="1"/>
    </x:xf>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center"/>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center"/>
    </x:xf>
    <x:xf numFmtId="0" fontId="0" fillId="7" borderId="0" xfId="0" applyNumberFormat="1" applyFont="1" applyFill="1" applyBorder="1"/>
    <x:xf numFmtId="0" fontId="4" fillId="7" borderId="0" xfId="0" applyNumberFormat="1" applyFont="1" applyFill="1" applyBorder="1"/>
    <x:xf numFmtId="0" fontId="4" fillId="7" borderId="1" xfId="0" applyNumberFormat="1" applyFont="1" applyFill="1" applyBorder="1"/>
  </x:cellXfs>
  <x:cellStyles count="1">
    <x:cellStyle name="Normal" xfId="0"/>
  </x:cellStyles>
  <x:dxfs count="3">
    <x:dxf>
      <x:fill>
        <x:patternFill patternType="solid">
          <x:bgColor rgb="FFE2F0D9"/>
        </x:patternFill>
      </x:fill>
    </x:dxf>
    <x:dxf>
      <x:fill>
        <x:patternFill patternType="solid">
          <x:bgColor rgb="FFF4CCCC"/>
        </x:patternFill>
      </x:fill>
    </x:dxf>
    <x:dxf>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60249d585dc4951" /><Relationship Type="http://schemas.openxmlformats.org/officeDocument/2006/relationships/theme" Target="/xl/theme/theme1.xml" Id="R55e13330694e4164" /><Relationship Type="http://schemas.microsoft.com/office/2022/11/relationships/FeaturePropertyBag" Target="/xl/featurePropertyBag/featurePropertyBag.xml" Id="Reb8234baaba74456" /><Relationship Type="http://schemas.openxmlformats.org/officeDocument/2006/relationships/sharedStrings" Target="/xl/sharedStrings.xml" Id="Rf19484a073974390" /><Relationship Type="http://schemas.openxmlformats.org/officeDocument/2006/relationships/worksheet" Target="/xl/worksheets/sheet1.xml" Id="R895bd98521ef4d4d" /><Relationship Type="http://schemas.openxmlformats.org/officeDocument/2006/relationships/worksheet" Target="/xl/worksheets/sheet2.xml" Id="Rb1df60314b0d457b" /><Relationship Type="http://schemas.openxmlformats.org/officeDocument/2006/relationships/worksheet" Target="/xl/worksheets/sheet3.xml" Id="Rd161146886b042f3" /><Relationship Type="http://schemas.openxmlformats.org/officeDocument/2006/relationships/worksheet" Target="/xl/worksheets/sheet4.xml" Id="Rb8280486008b42ef" /></Relationships>
</file>

<file path=xl/drawings/_rels/drawing1.xml.rels>&#65279;<?xml version="1.0" encoding="utf-8"?><Relationships xmlns="http://schemas.openxmlformats.org/package/2006/relationships"><Relationship Type="http://schemas.openxmlformats.org/officeDocument/2006/relationships/chart" Target="/xl/drawings/charts/chart1.xml" Id="R4714f20fe93c41d2" /></Relationships>
</file>

<file path=xl/drawings/_rels/drawing2.xml.rels>&#65279;<?xml version="1.0" encoding="utf-8"?><Relationships xmlns="http://schemas.openxmlformats.org/package/2006/relationships"><Relationship Type="http://schemas.openxmlformats.org/officeDocument/2006/relationships/chart" Target="/xl/drawings/charts/chart2.xml" Id="R8bba3bb04bfd48ff"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回流能力：实际可达与候选筛选 R_EGR</a:t>
            </a:r>
          </a:p>
        </c:rich>
      </c:tx>
      <c:overlay val="0"/>
    </c:title>
    <c:plotArea>
      <c:barChart>
        <c:barDir val="col"/>
        <c:varyColors val="0"/>
        <c:ser>
          <c:idx val="0"/>
          <c:order val="0"/>
          <c:tx>
            <c:v>最大实际 R</c:v>
          </c:tx>
          <c:cat>
            <c:strRef>
              <c:f>'技术结论'!$N$4:$N$11</c:f>
              <c:strCache>
                <c:ptCount val="0"/>
              </c:strCache>
            </c:strRef>
          </c:cat>
          <c:val>
            <c:numRef>
              <c:f>'技术结论'!$O$4:$O$11</c:f>
              <c:numCache>
                <c:formatCode>General</c:formatCode>
                <c:ptCount val="0"/>
              </c:numCache>
            </c:numRef>
          </c:val>
        </c:ser>
        <c:ser>
          <c:idx val="1"/>
          <c:order val="1"/>
          <c:tx>
            <c:v>最大候选 R</c:v>
          </c:tx>
          <c:cat>
            <c:strRef>
              <c:f>'技术结论'!$N$4:$N$11</c:f>
              <c:strCache>
                <c:ptCount val="0"/>
              </c:strCache>
            </c:strRef>
          </c:cat>
          <c:val>
            <c:numRef>
              <c:f>'技术结论'!$P$4:$P$11</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各策略/负载的最大混合器饱和度 S</a:t>
            </a:r>
          </a:p>
        </c:rich>
      </c:tx>
      <c:overlay val="0"/>
    </c:title>
    <c:plotArea>
      <c:barChart>
        <c:barDir val="col"/>
        <c:varyColors val="0"/>
        <c:ser>
          <c:idx val="0"/>
          <c:order val="0"/>
          <c:tx>
            <c:v>最大混合器 S</c:v>
          </c:tx>
          <c:cat>
            <c:strRef>
              <c:f>'冷凝机制'!$N$3:$N$10</c:f>
              <c:strCache>
                <c:ptCount val="0"/>
              </c:strCache>
            </c:strRef>
          </c:cat>
          <c:val>
            <c:numRef>
              <c:f>'冷凝机制'!$O$3:$O$10</c:f>
              <c:numCache>
                <c:formatCode>0.0000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13</xdr:col>
      <xdr:colOff>0</xdr:colOff>
      <xdr:row>2</xdr:row>
      <xdr:rowOff>0</xdr:rowOff>
    </xdr:from>
    <xdr:to>
      <xdr:col>22</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714f20fe93c41d2"/>
        </a:graphicData>
      </a:graphic>
    </xdr:graphicFrame>
    <xdr:clientData/>
  </xdr:twoCellAnchor>
</xdr:wsDr>
</file>

<file path=xl/drawings/drawing2.xml><?xml version="1.0" encoding="utf-8"?>
<xdr:wsDr xmlns:xdr="http://schemas.openxmlformats.org/drawingml/2006/spreadsheetDrawing">
  <xdr:twoCellAnchor>
    <xdr:from>
      <xdr:col>13</xdr:col>
      <xdr:colOff>0</xdr:colOff>
      <xdr:row>1</xdr:row>
      <xdr:rowOff>0</xdr:rowOff>
    </xdr:from>
    <xdr:to>
      <xdr:col>22</xdr:col>
      <xdr:colOff>0</xdr:colOff>
      <xdr:row>17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bba3bb04bfd48ff"/>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RouteACEGRAudit" displayName="RouteACEGRAudit" ref="A4:AU56" headerRowCount="1" totalsRowCount="0" totalsRowShown="0">
  <x:tableColumns count="47">
    <x:tableColumn id="1" name="策略"/>
    <x:tableColumn id="2" name="Case ID"/>
    <x:tableColumn id="3" name="已完成"/>
    <x:tableColumn id="4" name="局部数值通过"/>
    <x:tableColumn id="5" name="j (A/cm²)"/>
    <x:tableColumn id="6" name="OER 命令"/>
    <x:tableColumn id="7" name="目标 R_EGR"/>
    <x:tableColumn id="8" name="实际 R_EGR"/>
    <x:tableColumn id="9" name="R 偏差"/>
    <x:tableColumn id="10" name="R 容差"/>
    <x:tableColumn id="11" name="目标 x_EGR"/>
    <x:tableColumn id="12" name="实际 x_EGR"/>
    <x:tableColumn id="13" name="r_split"/>
    <x:tableColumn id="14" name="m_cEGR (kg/s)"/>
    <x:tableColumn id="15" name="实际 OER 均值"/>
    <x:tableColumn id="16" name="实际 OER 最小"/>
    <x:tableColumn id="17" name="OER 状态"/>
    <x:tableColumn id="18" name="单电池电压 (V)"/>
    <x:tableColumn id="19" name="阀面积分数"/>
    <x:tableColumn id="20" name="阀压差 (MPa)"/>
    <x:tableColumn id="21" name="压缩机入口 p (MPa)"/>
    <x:tableColumn id="22" name="压缩机出口 p (MPa)"/>
    <x:tableColumn id="23" name="中冷后 p (MPa)"/>
    <x:tableColumn id="24" name="阴极通道 p (MPa)"/>
    <x:tableColumn id="25" name="背压目标 (MPa)"/>
    <x:tableColumn id="26" name="阴极出口 p (MPa)"/>
    <x:tableColumn id="27" name="入堆 RH"/>
    <x:tableColumn id="28" name="压缩机入口 pO₂ (Pa)"/>
    <x:tableColumn id="29" name="混合器 T (°C)"/>
    <x:tableColumn id="30" name="混合器露点裕度 (°C)"/>
    <x:tableColumn id="31" name="混合器 S"/>
    <x:tableColumn id="32" name="混合器冷凝率 (kg/s)"/>
    <x:tableColumn id="33" name="混合器冷凝积分 (kg)"/>
    <x:tableColumn id="34" name="混合器相态"/>
    <x:tableColumn id="35" name="阴极气体 S"/>
    <x:tableColumn id="36" name="阴极冷凝率 (kg/s)"/>
    <x:tableColumn id="37" name="阴极相态"/>
    <x:tableColumn id="38" name="回流管 S"/>
    <x:tableColumn id="39" name="回流管冷凝率 (kg/s)"/>
    <x:tableColumn id="40" name="回流管相态"/>
    <x:tableColumn id="41" name="控制跟踪状态"/>
    <x:tableColumn id="42" name="综合筛选状态"/>
    <x:tableColumn id="43" name="错误 ID"/>
    <x:tableColumn id="44" name="水蒸气相对饱和超额 (%)"/>
    <x:tableColumn id="45" name="混合器冷凝率 (mg/s)"/>
    <x:tableColumn id="46" name="混合器冷凝积分 (mg)"/>
    <x:tableColumn id="47" name="出口压力偏差 (kPa)"/>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0de842262ec24e7b" /></Relationships>
</file>

<file path=xl/worksheets/_rels/sheet2.xml.rels>&#65279;<?xml version="1.0" encoding="utf-8"?><Relationships xmlns="http://schemas.openxmlformats.org/package/2006/relationships"><Relationship Type="http://schemas.openxmlformats.org/officeDocument/2006/relationships/table" Target="/xl/tables/table1.xml" Id="Rbd6980ea2ad248d4" /></Relationships>
</file>

<file path=xl/worksheets/_rels/sheet3.xml.rels>&#65279;<?xml version="1.0" encoding="utf-8"?><Relationships xmlns="http://schemas.openxmlformats.org/package/2006/relationships"><Relationship Type="http://schemas.openxmlformats.org/officeDocument/2006/relationships/drawing" Target="/xl/drawings/drawing2.xml" Id="R9e3e88baeb9f42ab" /></Relationships>
</file>

<file path=xl/worksheets/sheet1.xml><?xml version="1.0" encoding="utf-8"?>
<x:worksheet xmlns:x="http://schemas.openxmlformats.org/spreadsheetml/2006/main">
  <x:sheetViews>
    <x:sheetView showGridLines="0" workbookViewId="0"/>
  </x:sheetViews>
  <x:sheetFormatPr defaultRowHeight="15"/>
  <x:cols>
    <x:col min="12" max="12" width="28" hidden="0" customWidth="1"/>
    <x:col min="1" max="1" width="22" hidden="0" customWidth="1"/>
    <x:col min="2" max="2" width="12" hidden="0" customWidth="1"/>
    <x:col min="3" max="3" width="3" hidden="0" customWidth="1"/>
    <x:col min="4" max="4" width="34"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s>
  <x:sheetData>
    <x:row r="1" ht="19.200000762939453" hidden="0" customHeight="1">
      <x:c r="A1" s="4" t="str">
        <x:v>240 kW V-SH 阀门被动 cEGR 技术审计结果</x:v>
      </x:c>
    </x:row>
    <x:row r="2" ht="15" hidden="0" customHeight="1">
      <x:c r="A2" s="8" t="str">
        <x:v>基于两份正式 600 s 并行仿真结果；统一目标 R_EGR=m_return/m_fresh。水相结论仅限现有 L2 气相饱和/冷凝诊断。</x:v>
      </x:c>
    </x:row>
    <x:row r="3" ht="26.399999618530273" hidden="0" customHeight="1">
      <x:c r="N3" s="23" t="str">
        <x:v>工况</x:v>
      </x:c>
      <x:c r="O3" s="23" t="str">
        <x:v>最大实际 R</x:v>
      </x:c>
      <x:c r="P3" s="23" t="str">
        <x:v>最大候选 R</x:v>
      </x:c>
    </x:row>
    <x:row r="4" ht="15" hidden="0" customHeight="1">
      <x:c r="A4" s="11" t="str">
        <x:v>执行完整性与筛选结果</x:v>
      </x:c>
      <x:c r="B4" s="11"/>
      <x:c r="C4" s="11"/>
      <x:c r="D4" s="11"/>
      <x:c r="E4" s="11"/>
      <x:c r="F4" s="11"/>
      <x:c r="G4" s="11"/>
      <x:c r="H4" s="11"/>
      <x:c r="I4" s="11"/>
      <x:c r="J4" s="11"/>
      <x:c r="K4" s="11"/>
      <x:c r="L4" s="11"/>
      <x:c r="N4" s="25" t="str">
        <x:v>总流量不变-j0.1</x:v>
      </x:c>
      <x:c r="O4" s="25" t="n">
        <x:v>3.9975396446122895</x:v>
      </x:c>
      <x:c r="P4" s="25" t="n">
        <x:v>3</x:v>
      </x:c>
    </x:row>
    <x:row r="5" ht="15" hidden="0" customHeight="1">
      <x:c r="A5" s="14" t="str">
        <x:v>正式 case 总数</x:v>
      </x:c>
      <x:c r="B5" s="19" t="n">
        <x:v>52</x:v>
      </x:c>
      <x:c r="D5" s="23" t="str">
        <x:v>筛选状态</x:v>
      </x:c>
      <x:c r="E5" s="23" t="str">
        <x:v>数量</x:v>
      </x:c>
      <x:c r="N5" s="25" t="str">
        <x:v>总流量不变-j0.2</x:v>
      </x:c>
      <x:c r="O5" s="25" t="n">
        <x:v>2.5997016764362564</x:v>
      </x:c>
      <x:c r="P5" s="25" t="n">
        <x:v>1.9500000000000002</x:v>
      </x:c>
    </x:row>
    <x:row r="6" ht="15" hidden="0" customHeight="1">
      <x:c r="A6" s="14" t="str">
        <x:v>已完成 case</x:v>
      </x:c>
      <x:c r="B6" s="19" t="n">
        <x:v>52</x:v>
      </x:c>
      <x:c r="D6" s="25" t="str">
        <x:v>candidate_feasible_gas_phase_screen</x:v>
      </x:c>
      <x:c r="E6" s="26" t="n">
        <x:v>21</x:v>
      </x:c>
      <x:c r="N6" s="25" t="str">
        <x:v>总流量不变-j0.4</x:v>
      </x:c>
      <x:c r="O6" s="25" t="n">
        <x:v>1.3999543779954127</x:v>
      </x:c>
      <x:c r="P6" s="25" t="n">
        <x:v>0</x:v>
      </x:c>
    </x:row>
    <x:row r="7" ht="15" hidden="0" customHeight="1">
      <x:c r="A7" s="14" t="str">
        <x:v>候选可行（气相筛选）</x:v>
      </x:c>
      <x:c r="B7" s="19" t="n">
        <x:v>21</x:v>
      </x:c>
      <x:c r="D7" s="25" t="str">
        <x:v>not_acceptable_mixer_condensation</x:v>
      </x:c>
      <x:c r="E7" s="26" t="n">
        <x:v>13</x:v>
      </x:c>
      <x:c r="N7" s="25" t="str">
        <x:v>总流量不变-j1</x:v>
      </x:c>
      <x:c r="O7" s="25" t="n">
        <x:v>0.799828812517594</x:v>
      </x:c>
      <x:c r="P7" s="25" t="n">
        <x:v>0</x:v>
      </x:c>
    </x:row>
    <x:row r="8" ht="15" hidden="0" customHeight="1">
      <x:c r="A8" s="14" t="str">
        <x:v>混合器冷凝/过饱和</x:v>
      </x:c>
      <x:c r="B8" s="19" t="n">
        <x:v>13</x:v>
      </x:c>
      <x:c r="D8" s="25" t="str">
        <x:v>not_acceptable_oer</x:v>
      </x:c>
      <x:c r="E8" s="26" t="n">
        <x:v>1</x:v>
      </x:c>
      <x:c r="N8" s="25" t="str">
        <x:v>新鲜空气不变-j0.1</x:v>
      </x:c>
      <x:c r="O8" s="25" t="n">
        <x:v>1.4822809833206079</x:v>
      </x:c>
      <x:c r="P8" s="25" t="n">
        <x:v>1</x:v>
      </x:c>
    </x:row>
    <x:row r="9" ht="15" hidden="0" customHeight="1">
      <x:c r="A9" s="14" t="str">
        <x:v>总流量不变</x:v>
      </x:c>
      <x:c r="B9" s="19" t="n">
        <x:v>24</x:v>
      </x:c>
      <x:c r="D9" s="25" t="str">
        <x:v>requires_cegr_tracking_review</x:v>
      </x:c>
      <x:c r="E9" s="26" t="n">
        <x:v>10</x:v>
      </x:c>
      <x:c r="N9" s="25" t="str">
        <x:v>新鲜空气不变-j0.2</x:v>
      </x:c>
      <x:c r="O9" s="25" t="n">
        <x:v>1.1342600010027133</x:v>
      </x:c>
      <x:c r="P9" s="25" t="n">
        <x:v>1</x:v>
      </x:c>
    </x:row>
    <x:row r="10" ht="15" hidden="0" customHeight="1">
      <x:c r="A10" s="14" t="str">
        <x:v>新鲜空气不变</x:v>
      </x:c>
      <x:c r="B10" s="19" t="n">
        <x:v>28</x:v>
      </x:c>
      <x:c r="D10" s="25" t="str">
        <x:v>risk_review_required</x:v>
      </x:c>
      <x:c r="E10" s="26" t="n">
        <x:v>7</x:v>
      </x:c>
      <x:c r="N10" s="25" t="str">
        <x:v>新鲜空气不变-j0.4</x:v>
      </x:c>
      <x:c r="O10" s="25" t="n">
        <x:v>0.9132902244616244</x:v>
      </x:c>
      <x:c r="P10" s="25" t="n">
        <x:v>0.1</x:v>
      </x:c>
    </x:row>
    <x:row r="11" ht="15" hidden="0" customHeight="1">
      <x:c r="N11" s="25" t="str">
        <x:v>新鲜空气不变-j1</x:v>
      </x:c>
      <x:c r="O11" s="25" t="n">
        <x:v>0.5837013637953853</x:v>
      </x:c>
      <x:c r="P11" s="25" t="n">
        <x:v>0</x:v>
      </x:c>
    </x:row>
    <x:row r="12"/>
    <x:row r="13" ht="15" hidden="0" customHeight="1">
      <x:c r="A13" s="11" t="str">
        <x:v>控制与能力包络（每行的“最大候选目标 R”仅为离散矩阵筛选结果，不代表连续硬件额定能力）</x:v>
      </x:c>
      <x:c r="B13" s="11"/>
      <x:c r="C13" s="11"/>
      <x:c r="D13" s="11"/>
      <x:c r="E13" s="11"/>
      <x:c r="F13" s="11"/>
      <x:c r="G13" s="11"/>
      <x:c r="H13" s="11"/>
      <x:c r="I13" s="11"/>
      <x:c r="J13" s="11"/>
      <x:c r="K13" s="11"/>
      <x:c r="L13" s="11"/>
    </x:row>
    <x:row r="14" ht="26.399999618530273" hidden="0" customHeight="1">
      <x:c r="A14" s="23" t="str">
        <x:v>策略</x:v>
      </x:c>
      <x:c r="B14" s="23" t="str">
        <x:v>j (A/cm²)</x:v>
      </x:c>
      <x:c r="C14" s="23" t="str">
        <x:v>完成</x:v>
      </x:c>
      <x:c r="D14" s="23" t="str">
        <x:v>候选数</x:v>
      </x:c>
      <x:c r="E14" s="23" t="str">
        <x:v>最大候选目标 R</x:v>
      </x:c>
      <x:c r="F14" s="23" t="str">
        <x:v>最大实际 R</x:v>
      </x:c>
      <x:c r="G14" s="23" t="str">
        <x:v>最小实际 OER</x:v>
      </x:c>
      <x:c r="H14" s="23" t="str">
        <x:v>最大阀面积分数</x:v>
      </x:c>
      <x:c r="I14" s="23" t="str">
        <x:v>最大混合器 S</x:v>
      </x:c>
      <x:c r="J14" s="23" t="str">
        <x:v>最小露点裕度 (°C)</x:v>
      </x:c>
      <x:c r="K14" s="23" t="str">
        <x:v>最大冷凝积分 (mg)</x:v>
      </x:c>
      <x:c r="L14" s="23" t="str">
        <x:v>主要约束</x:v>
      </x:c>
    </x:row>
    <x:row r="15" ht="15" hidden="0" customHeight="1">
      <x:c r="A15" s="25" t="str">
        <x:v>总流量不变</x:v>
      </x:c>
      <x:c r="B15" s="27" t="n">
        <x:v>0.1</x:v>
      </x:c>
      <x:c r="C15" s="26" t="n">
        <x:v>6</x:v>
      </x:c>
      <x:c r="D15" s="26" t="n">
        <x:v>5</x:v>
      </x:c>
      <x:c r="E15" s="28" t="n">
        <x:v>3</x:v>
      </x:c>
      <x:c r="F15" s="28" t="n">
        <x:v>3.9975396446122895</x:v>
      </x:c>
      <x:c r="G15" s="28" t="n">
        <x:v>0.9997589475128392</x:v>
      </x:c>
      <x:c r="H15" s="28" t="n">
        <x:v>0.9545270617004944</x:v>
      </x:c>
      <x:c r="I15" s="28" t="n">
        <x:v>0.7578425454845792</x:v>
      </x:c>
      <x:c r="J15" s="28" t="n">
        <x:v>5.584004181614745</x:v>
      </x:c>
      <x:c r="K15" s="28" t="n">
        <x:v>0</x:v>
      </x:c>
      <x:c r="L15" s="29" t="str">
        <x:v>实际 OER&lt;1</x:v>
      </x:c>
    </x:row>
    <x:row r="16" ht="15" hidden="0" customHeight="1">
      <x:c r="A16" s="25" t="str">
        <x:v>总流量不变</x:v>
      </x:c>
      <x:c r="B16" s="27" t="n">
        <x:v>0.2</x:v>
      </x:c>
      <x:c r="C16" s="26" t="n">
        <x:v>6</x:v>
      </x:c>
      <x:c r="D16" s="26" t="n">
        <x:v>3</x:v>
      </x:c>
      <x:c r="E16" s="28" t="n">
        <x:v>1.9500000000000002</x:v>
      </x:c>
      <x:c r="F16" s="28" t="n">
        <x:v>2.5997016764362564</x:v>
      </x:c>
      <x:c r="G16" s="28" t="n">
        <x:v>1.1161325491624408</x:v>
      </x:c>
      <x:c r="H16" s="28" t="n">
        <x:v>0.9808520848167838</x:v>
      </x:c>
      <x:c r="I16" s="28" t="n">
        <x:v>0.9534551668778177</x:v>
      </x:c>
      <x:c r="J16" s="28" t="n">
        <x:v>0.877673521435085</x:v>
      </x:c>
      <x:c r="K16" s="28" t="n">
        <x:v>0</x:v>
      </x:c>
      <x:c r="L16" s="29" t="str">
        <x:v>混合器/阴极气相冷凝</x:v>
      </x:c>
    </x:row>
    <x:row r="17" ht="15" hidden="0" customHeight="1">
      <x:c r="A17" s="25" t="str">
        <x:v>总流量不变</x:v>
      </x:c>
      <x:c r="B17" s="27" t="n">
        <x:v>0.4</x:v>
      </x:c>
      <x:c r="C17" s="26" t="n">
        <x:v>6</x:v>
      </x:c>
      <x:c r="D17" s="26" t="n">
        <x:v>1</x:v>
      </x:c>
      <x:c r="E17" s="28" t="n">
        <x:v>0</x:v>
      </x:c>
      <x:c r="F17" s="28" t="n">
        <x:v>1.3999543779954127</x:v>
      </x:c>
      <x:c r="G17" s="28" t="n">
        <x:v>1.0799319848539777</x:v>
      </x:c>
      <x:c r="H17" s="28" t="n">
        <x:v>0.8850480483538485</x:v>
      </x:c>
      <x:c r="I17" s="28" t="n">
        <x:v>1.1276021664588292</x:v>
      </x:c>
      <x:c r="J17" s="28" t="n">
        <x:v>-2.3417860664874297</x:v>
      </x:c>
      <x:c r="K17" s="28" t="n">
        <x:v>50.93252540217673</x:v>
      </x:c>
      <x:c r="L17" s="29" t="str">
        <x:v>混合器/阴极气相冷凝</x:v>
      </x:c>
    </x:row>
    <x:row r="18" ht="15" hidden="0" customHeight="1">
      <x:c r="A18" s="25" t="str">
        <x:v>总流量不变</x:v>
      </x:c>
      <x:c r="B18" s="27" t="n">
        <x:v>1</x:v>
      </x:c>
      <x:c r="C18" s="26" t="n">
        <x:v>6</x:v>
      </x:c>
      <x:c r="D18" s="26" t="n">
        <x:v>1</x:v>
      </x:c>
      <x:c r="E18" s="28" t="n">
        <x:v>0</x:v>
      </x:c>
      <x:c r="F18" s="28" t="n">
        <x:v>0.799828812517594</x:v>
      </x:c>
      <x:c r="G18" s="28" t="n">
        <x:v>1.0096602848025185</x:v>
      </x:c>
      <x:c r="H18" s="28" t="n">
        <x:v>0.9621016669133241</x:v>
      </x:c>
      <x:c r="I18" s="28" t="n">
        <x:v>1.1941517746453305</x:v>
      </x:c>
      <x:c r="J18" s="28" t="n">
        <x:v>-3.397477549806297</x:v>
      </x:c>
      <x:c r="K18" s="28" t="n">
        <x:v>65.19961024889191</x:v>
      </x:c>
      <x:c r="L18" s="29" t="str">
        <x:v>混合器/阴极气相冷凝</x:v>
      </x:c>
    </x:row>
    <x:row r="19" ht="15" hidden="0" customHeight="1">
      <x:c r="A19" s="25" t="str">
        <x:v>新鲜空气不变</x:v>
      </x:c>
      <x:c r="B19" s="27" t="n">
        <x:v>0.1</x:v>
      </x:c>
      <x:c r="C19" s="26" t="n">
        <x:v>7</x:v>
      </x:c>
      <x:c r="D19" s="26" t="n">
        <x:v>4</x:v>
      </x:c>
      <x:c r="E19" s="28" t="n">
        <x:v>1</x:v>
      </x:c>
      <x:c r="F19" s="28" t="n">
        <x:v>1.4822809833206079</x:v>
      </x:c>
      <x:c r="G19" s="28" t="n">
        <x:v>4.997045043216289</x:v>
      </x:c>
      <x:c r="H19" s="28" t="n">
        <x:v>1</x:v>
      </x:c>
      <x:c r="I19" s="28" t="n">
        <x:v>0.6242607882912296</x:v>
      </x:c>
      <x:c r="J19" s="28" t="n">
        <x:v>8.180542835989243</x:v>
      </x:c>
      <x:c r="K19" s="28" t="n">
        <x:v>0</x:v>
      </x:c>
      <x:c r="L19" s="29" t="str">
        <x:v>阀面积饱和</x:v>
      </x:c>
    </x:row>
    <x:row r="20" ht="15" hidden="0" customHeight="1">
      <x:c r="A20" s="25" t="str">
        <x:v>新鲜空气不变</x:v>
      </x:c>
      <x:c r="B20" s="27" t="n">
        <x:v>0.2</x:v>
      </x:c>
      <x:c r="C20" s="26" t="n">
        <x:v>7</x:v>
      </x:c>
      <x:c r="D20" s="26" t="n">
        <x:v>4</x:v>
      </x:c>
      <x:c r="E20" s="28" t="n">
        <x:v>1</x:v>
      </x:c>
      <x:c r="F20" s="28" t="n">
        <x:v>1.1342600010027133</x:v>
      </x:c>
      <x:c r="G20" s="28" t="n">
        <x:v>3.5978724311160755</x:v>
      </x:c>
      <x:c r="H20" s="28" t="n">
        <x:v>1</x:v>
      </x:c>
      <x:c r="I20" s="28" t="n">
        <x:v>0.7662223873735027</x:v>
      </x:c>
      <x:c r="J20" s="28" t="n">
        <x:v>4.710695955534796</x:v>
      </x:c>
      <x:c r="K20" s="28" t="n">
        <x:v>0</x:v>
      </x:c>
      <x:c r="L20" s="29" t="str">
        <x:v>阀面积饱和</x:v>
      </x:c>
    </x:row>
    <x:row r="21" ht="26.399999618530273" hidden="0" customHeight="1">
      <x:c r="A21" s="25" t="str">
        <x:v>新鲜空气不变</x:v>
      </x:c>
      <x:c r="B21" s="27" t="n">
        <x:v>0.4</x:v>
      </x:c>
      <x:c r="C21" s="26" t="n">
        <x:v>7</x:v>
      </x:c>
      <x:c r="D21" s="26" t="n">
        <x:v>2</x:v>
      </x:c>
      <x:c r="E21" s="28" t="n">
        <x:v>0.1</x:v>
      </x:c>
      <x:c r="F21" s="28" t="n">
        <x:v>0.9132902244616244</x:v>
      </x:c>
      <x:c r="G21" s="28" t="n">
        <x:v>2.398581620744314</x:v>
      </x:c>
      <x:c r="H21" s="28" t="n">
        <x:v>1</x:v>
      </x:c>
      <x:c r="I21" s="28" t="n">
        <x:v>1.0062643148576287</x:v>
      </x:c>
      <x:c r="J21" s="28" t="n">
        <x:v>-0.11392283830842587</x:v>
      </x:c>
      <x:c r="K21" s="28" t="n">
        <x:v>1.3144281290815252</x:v>
      </x:c>
      <x:c r="L21" s="29" t="str">
        <x:v>混合器/阴极气相冷凝；阀面积饱和</x:v>
      </x:c>
    </x:row>
    <x:row r="22" ht="26.399999618530273" hidden="0" customHeight="1">
      <x:c r="A22" s="25" t="str">
        <x:v>新鲜空气不变</x:v>
      </x:c>
      <x:c r="B22" s="27" t="n">
        <x:v>1</x:v>
      </x:c>
      <x:c r="C22" s="26" t="n">
        <x:v>7</x:v>
      </x:c>
      <x:c r="D22" s="26" t="n">
        <x:v>1</x:v>
      </x:c>
      <x:c r="E22" s="28" t="n">
        <x:v>0</x:v>
      </x:c>
      <x:c r="F22" s="28" t="n">
        <x:v>0.5837013637953853</x:v>
      </x:c>
      <x:c r="G22" s="28" t="n">
        <x:v>1.7989362155590336</x:v>
      </x:c>
      <x:c r="H22" s="28" t="n">
        <x:v>1</x:v>
      </x:c>
      <x:c r="I22" s="28" t="n">
        <x:v>1.0502503083638788</x:v>
      </x:c>
      <x:c r="J22" s="28" t="n">
        <x:v>-0.928600710449075</x:v>
      </x:c>
      <x:c r="K22" s="28" t="n">
        <x:v>16.74986152026404</x:v>
      </x:c>
      <x:c r="L22" s="29" t="str">
        <x:v>混合器/阴极气相冷凝；阀面积饱和</x:v>
      </x:c>
    </x:row>
    <x:row r="23"/>
    <x:row r="24"/>
    <x:row r="25" ht="15" hidden="0" customHeight="1">
      <x:c r="A25" s="11" t="str">
        <x:v>工程解释要点</x:v>
      </x:c>
      <x:c r="B25" s="11"/>
      <x:c r="C25" s="11"/>
      <x:c r="D25" s="11"/>
      <x:c r="E25" s="11"/>
      <x:c r="F25" s="11"/>
      <x:c r="G25" s="11"/>
      <x:c r="H25" s="11"/>
      <x:c r="I25" s="11"/>
      <x:c r="J25" s="11"/>
      <x:c r="K25" s="11"/>
      <x:c r="L25" s="11"/>
    </x:row>
    <x:row r="26" ht="15" hidden="0" customHeight="1">
      <x:c r="A26" s="14" t="str">
        <x:v>总流量不变</x:v>
      </x:c>
      <x:c r="B26" s="30" t="str">
        <x:v>低负载 j=0.1 在 R=4 时实际入堆 OER≈1，说明该策略的高回流首先受净氧量约束；j≥0.4 的主要边界转为混合器/阴极气相冷凝。</x:v>
      </x:c>
      <x:c r="C26" s="30"/>
      <x:c r="D26" s="30"/>
      <x:c r="E26" s="30"/>
      <x:c r="F26" s="30"/>
      <x:c r="G26" s="30"/>
      <x:c r="H26" s="30"/>
      <x:c r="I26" s="30"/>
      <x:c r="J26" s="30"/>
      <x:c r="K26" s="30"/>
      <x:c r="L26" s="30"/>
    </x:row>
    <x:row r="27" ht="15" hidden="0" customHeight="1">
      <x:c r="A27" s="14" t="str">
        <x:v>新鲜空气不变</x:v>
      </x:c>
      <x:c r="B27" s="30" t="str">
        <x:v>实际 OER 不构成首要限制，但阀面积会饱和：j=0.1/0.2/0.4/1.0 的最大实际 R 分别约为 1.48/1.13/0.91/0.58。</x:v>
      </x:c>
      <x:c r="C27" s="30"/>
      <x:c r="D27" s="30"/>
      <x:c r="E27" s="30"/>
      <x:c r="F27" s="30"/>
      <x:c r="G27" s="30"/>
      <x:c r="H27" s="30"/>
      <x:c r="I27" s="30"/>
      <x:c r="J27" s="30"/>
      <x:c r="K27" s="30"/>
      <x:c r="L27" s="30"/>
    </x:row>
    <x:row r="28" ht="15" hidden="0" customHeight="1">
      <x:c r="A28" s="14" t="str">
        <x:v>冷凝语义</x:v>
      </x:c>
      <x:c r="B28" s="30" t="str">
        <x:v>当 S=pH2O/p_sat(T)&gt;1 或露点裕度&lt;0 时，L2 气相诊断给出冷凝率/积分；这表示为达到饱和需相变的水蒸气过量，不等于液水库存、液滴携带或压缩机允许进液量。</x:v>
      </x:c>
      <x:c r="C28" s="30"/>
      <x:c r="D28" s="30"/>
      <x:c r="E28" s="30"/>
      <x:c r="F28" s="30"/>
      <x:c r="G28" s="30"/>
      <x:c r="H28" s="30"/>
      <x:c r="I28" s="30"/>
      <x:c r="J28" s="30"/>
      <x:c r="K28" s="30"/>
      <x:c r="L28" s="30"/>
    </x:row>
    <x:row r="29" ht="15" hidden="0" customHeight="1">
      <x:c r="A29" s="14" t="str">
        <x:v>压力链</x:v>
      </x:c>
      <x:c r="B29" s="30" t="str">
        <x:v>四个负载点的阴极出口压力均稳定在推荐表表压换算的绝压目标附近，支持本轮背压映射用于该外部案例。</x:v>
      </x:c>
      <x:c r="C29" s="30"/>
      <x:c r="D29" s="30"/>
      <x:c r="E29" s="30"/>
      <x:c r="F29" s="30"/>
      <x:c r="G29" s="30"/>
      <x:c r="H29" s="30"/>
      <x:c r="I29" s="30"/>
      <x:c r="J29" s="30"/>
      <x:c r="K29" s="30"/>
      <x:c r="L29" s="30"/>
    </x:row>
  </x:sheetData>
  <x:mergeCells>
    <x:mergeCell ref="A1:L1"/>
    <x:mergeCell ref="A2:L2"/>
    <x:mergeCell ref="A4:L4"/>
    <x:mergeCell ref="A13:L13"/>
    <x:mergeCell ref="A25:L25"/>
    <x:mergeCell ref="B26:L26"/>
    <x:mergeCell ref="B27:L27"/>
    <x:mergeCell ref="B28:L28"/>
    <x:mergeCell ref="B29:L29"/>
  </x:mergeCells>
  <x:pageMargins left="0.7" right="0.7" top="0.75" bottom="0.75" header="0.3" footer="0.3"/>
  <x:drawing xmlns:r="http://schemas.openxmlformats.org/officeDocument/2006/relationships" r:id="R0de842262ec24e7b"/>
</x:worksheet>
</file>

<file path=xl/worksheets/sheet2.xml><?xml version="1.0" encoding="utf-8"?>
<x:worksheet xmlns:x="http://schemas.openxmlformats.org/spreadsheetml/2006/main">
  <x:sheetViews>
    <x:sheetView showGridLines="0" workbookViewId="0"/>
  </x:sheetViews>
  <x:sheetFormatPr defaultRowHeight="15"/>
  <x:cols>
    <x:col min="2" max="2" width="45" hidden="0" customWidth="1"/>
    <x:col min="1" max="1" width="16" hidden="0" customWidth="1"/>
    <x:col min="34" max="34" width="22" hidden="0" customWidth="1"/>
    <x:col min="35" max="35" width="22" hidden="0" customWidth="1"/>
    <x:col min="36" max="36" width="22" hidden="0" customWidth="1"/>
    <x:col min="37" max="37" width="22" hidden="0" customWidth="1"/>
  </x:cols>
  <x:sheetData>
    <x:row r="1" ht="28" customHeight="1">
      <x:c r="A1" s="4" t="str">
        <x:v>审计明细：52 个正式 case</x:v>
      </x:c>
    </x:row>
    <x:row r="2" ht="34" customHeight="1">
      <x:c r="A2" s="8" t="str">
        <x:v>原始仿真审计字段与可追溯派生量。派生列使用 Excel 公式，源数据未修改。</x:v>
      </x:c>
    </x:row>
    <x:row r="4" ht="18" customHeight="1">
      <x:c r="A4" s="23" t="str">
        <x:v>策略</x:v>
      </x:c>
      <x:c r="B4" s="23" t="str">
        <x:v>Case ID</x:v>
      </x:c>
      <x:c r="C4" s="23" t="str">
        <x:v>已完成</x:v>
      </x:c>
      <x:c r="D4" s="23" t="str">
        <x:v>局部数值通过</x:v>
      </x:c>
      <x:c r="E4" s="23" t="str">
        <x:v>j (A/cm²)</x:v>
      </x:c>
      <x:c r="F4" s="23" t="str">
        <x:v>OER 命令</x:v>
      </x:c>
      <x:c r="G4" s="23" t="str">
        <x:v>目标 R_EGR</x:v>
      </x:c>
      <x:c r="H4" s="23" t="str">
        <x:v>实际 R_EGR</x:v>
      </x:c>
      <x:c r="I4" s="23" t="str">
        <x:v>R 偏差</x:v>
      </x:c>
      <x:c r="J4" s="23" t="str">
        <x:v>R 容差</x:v>
      </x:c>
      <x:c r="K4" s="23" t="str">
        <x:v>目标 x_EGR</x:v>
      </x:c>
      <x:c r="L4" s="23" t="str">
        <x:v>实际 x_EGR</x:v>
      </x:c>
      <x:c r="M4" s="23" t="str">
        <x:v>r_split</x:v>
      </x:c>
      <x:c r="N4" s="23" t="str">
        <x:v>m_cEGR (kg/s)</x:v>
      </x:c>
      <x:c r="O4" s="23" t="str">
        <x:v>实际 OER 均值</x:v>
      </x:c>
      <x:c r="P4" s="23" t="str">
        <x:v>实际 OER 最小</x:v>
      </x:c>
      <x:c r="Q4" s="23" t="str">
        <x:v>OER 状态</x:v>
      </x:c>
      <x:c r="R4" s="23" t="str">
        <x:v>单电池电压 (V)</x:v>
      </x:c>
      <x:c r="S4" s="23" t="str">
        <x:v>阀面积分数</x:v>
      </x:c>
      <x:c r="T4" s="23" t="str">
        <x:v>阀压差 (MPa)</x:v>
      </x:c>
      <x:c r="U4" s="23" t="str">
        <x:v>压缩机入口 p (MPa)</x:v>
      </x:c>
      <x:c r="V4" s="23" t="str">
        <x:v>压缩机出口 p (MPa)</x:v>
      </x:c>
      <x:c r="W4" s="23" t="str">
        <x:v>中冷后 p (MPa)</x:v>
      </x:c>
      <x:c r="X4" s="23" t="str">
        <x:v>阴极通道 p (MPa)</x:v>
      </x:c>
      <x:c r="Y4" s="23" t="str">
        <x:v>背压目标 (MPa)</x:v>
      </x:c>
      <x:c r="Z4" s="23" t="str">
        <x:v>阴极出口 p (MPa)</x:v>
      </x:c>
      <x:c r="AA4" s="23" t="str">
        <x:v>入堆 RH</x:v>
      </x:c>
      <x:c r="AB4" s="23" t="str">
        <x:v>压缩机入口 pO₂ (Pa)</x:v>
      </x:c>
      <x:c r="AC4" s="23" t="str">
        <x:v>混合器 T (°C)</x:v>
      </x:c>
      <x:c r="AD4" s="23" t="str">
        <x:v>混合器露点裕度 (°C)</x:v>
      </x:c>
      <x:c r="AE4" s="23" t="str">
        <x:v>混合器 S</x:v>
      </x:c>
      <x:c r="AF4" s="23" t="str">
        <x:v>混合器冷凝率 (kg/s)</x:v>
      </x:c>
      <x:c r="AG4" s="23" t="str">
        <x:v>混合器冷凝积分 (kg)</x:v>
      </x:c>
      <x:c r="AH4" s="23" t="str">
        <x:v>混合器相态</x:v>
      </x:c>
      <x:c r="AI4" s="23" t="str">
        <x:v>阴极气体 S</x:v>
      </x:c>
      <x:c r="AJ4" s="23" t="str">
        <x:v>阴极冷凝率 (kg/s)</x:v>
      </x:c>
      <x:c r="AK4" s="23" t="str">
        <x:v>阴极相态</x:v>
      </x:c>
      <x:c r="AL4" s="23" t="str">
        <x:v>回流管 S</x:v>
      </x:c>
      <x:c r="AM4" s="23" t="str">
        <x:v>回流管冷凝率 (kg/s)</x:v>
      </x:c>
      <x:c r="AN4" s="23" t="str">
        <x:v>回流管相态</x:v>
      </x:c>
      <x:c r="AO4" s="23" t="str">
        <x:v>控制跟踪状态</x:v>
      </x:c>
      <x:c r="AP4" s="23" t="str">
        <x:v>综合筛选状态</x:v>
      </x:c>
      <x:c r="AQ4" s="23" t="str">
        <x:v>错误 ID</x:v>
      </x:c>
      <x:c r="AR4" s="23" t="str">
        <x:v>水蒸气相对饱和超额 (%)</x:v>
      </x:c>
      <x:c r="AS4" s="23" t="str">
        <x:v>混合器冷凝率 (mg/s)</x:v>
      </x:c>
      <x:c r="AT4" s="23" t="str">
        <x:v>混合器冷凝积分 (mg)</x:v>
      </x:c>
      <x:c r="AU4" s="23" t="str">
        <x:v>出口压力偏差 (kPa)</x:v>
      </x:c>
    </x:row>
    <x:row r="5" ht="18" customHeight="1">
      <x:c r="A5" s="25" t="str">
        <x:v>总流量不变</x:v>
      </x:c>
      <x:c r="B5" s="25" t="str">
        <x:v>external240_total_flow_fixed_j0p1_R0p000</x:v>
      </x:c>
      <x:c r="C5" s="33" t="b">
        <x:v>1</x:v>
      </x:c>
      <x:c r="D5" s="33" t="b">
        <x:v>1</x:v>
      </x:c>
      <x:c r="E5" s="34" t="n">
        <x:v>0.1</x:v>
      </x:c>
      <x:c r="F5" s="34" t="n">
        <x:v>5</x:v>
      </x:c>
      <x:c r="G5" s="34" t="n">
        <x:v>0</x:v>
      </x:c>
      <x:c r="H5" s="34" t="n">
        <x:v>0</x:v>
      </x:c>
      <x:c r="I5" s="34" t="n">
        <x:v>0</x:v>
      </x:c>
      <x:c r="J5" s="34" t="n">
        <x:v>0.005</x:v>
      </x:c>
      <x:c r="K5" s="34" t="n">
        <x:v>0</x:v>
      </x:c>
      <x:c r="L5" s="34" t="n">
        <x:v>0</x:v>
      </x:c>
      <x:c r="M5" s="34" t="n">
        <x:v>0</x:v>
      </x:c>
      <x:c r="N5" s="34" t="n">
        <x:v>0</x:v>
      </x:c>
      <x:c r="O5" s="34" t="n">
        <x:v>4.997045043216299</x:v>
      </x:c>
      <x:c r="P5" s="34" t="n">
        <x:v>4.997045043216289</x:v>
      </x:c>
      <x:c r="Q5" s="34" t="str">
        <x:v>feasible_above_1p2</x:v>
      </x:c>
      <x:c r="R5" s="34" t="n">
        <x:v>0.7991669060053129</x:v>
      </x:c>
      <x:c r="S5" s="34" t="n">
        <x:v>9.999999999999998e-8</x:v>
      </x:c>
      <x:c r="T5" s="34" t="n">
        <x:v>0</x:v>
      </x:c>
      <x:c r="U5" s="34" t="n">
        <x:v>0.10132500000000001</x:v>
      </x:c>
      <x:c r="V5" s="34" t="n">
        <x:v>0.14489779018385204</x:v>
      </x:c>
      <x:c r="W5" s="34" t="n">
        <x:v>0.1448477872971027</x:v>
      </x:c>
      <x:c r="X5" s="34" t="n">
        <x:v>0.14484778729710274</x:v>
      </x:c>
      <x:c r="Y5" s="34" t="n">
        <x:v>0.141325</x:v>
      </x:c>
      <x:c r="Z5" s="34" t="n">
        <x:v>0.14132500000000003</x:v>
      </x:c>
      <x:c r="AA5" s="25" t="n">
        <x:v>0.08343775189350726</x:v>
      </x:c>
      <x:c r="AB5" s="25" t="n">
        <x:v>21278.25</x:v>
      </x:c>
      <x:c r="AC5" s="25" t="n">
        <x:v>19.971192082595337</x:v>
      </x:c>
      <x:c r="AD5" s="25" t="n">
        <x:v>10.700230930745477</x:v>
      </x:c>
      <x:c r="AE5" s="25" t="n">
        <x:v>0.5008930570095335</x:v>
      </x:c>
      <x:c r="AF5" s="25" t="n">
        <x:v>0</x:v>
      </x:c>
      <x:c r="AG5" s="25" t="n">
        <x:v>0</x:v>
      </x:c>
      <x:c r="AH5" s="25" t="str">
        <x:v>gas_phase_noncondensing</x:v>
      </x:c>
      <x:c r="AI5" s="25" t="n">
        <x:v>0.5193694064577961</x:v>
      </x:c>
      <x:c r="AJ5" s="25" t="n">
        <x:v>0</x:v>
      </x:c>
      <x:c r="AK5" s="25" t="str">
        <x:v>gas_phase_noncondensing</x:v>
      </x:c>
      <x:c r="AL5" s="25" t="n">
        <x:v>0.5001268043079309</x:v>
      </x:c>
      <x:c r="AM5" s="25" t="n">
        <x:v>0</x:v>
      </x:c>
      <x:c r="AN5" s="25" t="str">
        <x:v>gas_phase_noncondensing</x:v>
      </x:c>
      <x:c r="AO5" s="25" t="str">
        <x:v>not_applicable_zero_target</x:v>
      </x:c>
      <x:c r="AP5" s="25" t="str">
        <x:v>candidate_feasible_gas_phase_screen</x:v>
      </x:c>
      <x:c r="AQ5" s="25" t="str"/>
      <x:c r="AR5" s="34" t="n">
        <x:f>MAX(0,AE5-1)*100</x:f>
        <x:v>0</x:v>
      </x:c>
      <x:c r="AS5" s="34" t="n">
        <x:f>AF5*1000000</x:f>
        <x:v>0</x:v>
      </x:c>
      <x:c r="AT5" s="34" t="n">
        <x:f>AG5*1000000</x:f>
        <x:v>0</x:v>
      </x:c>
      <x:c r="AU5" s="34" t="n">
        <x:f>(Z5-Y5)*1000</x:f>
        <x:v>2.7755575615628914e-14</x:v>
      </x:c>
    </x:row>
    <x:row r="6" ht="18" customHeight="1">
      <x:c r="A6" s="25" t="str">
        <x:v>总流量不变</x:v>
      </x:c>
      <x:c r="B6" s="25" t="str">
        <x:v>external240_total_flow_fixed_j0p1_R0p400</x:v>
      </x:c>
      <x:c r="C6" s="33" t="b">
        <x:v>1</x:v>
      </x:c>
      <x:c r="D6" s="33" t="b">
        <x:v>1</x:v>
      </x:c>
      <x:c r="E6" s="34" t="n">
        <x:v>0.1</x:v>
      </x:c>
      <x:c r="F6" s="34" t="n">
        <x:v>5</x:v>
      </x:c>
      <x:c r="G6" s="34" t="n">
        <x:v>0.4</x:v>
      </x:c>
      <x:c r="H6" s="34" t="n">
        <x:v>0.3999999938973793</x:v>
      </x:c>
      <x:c r="I6" s="34" t="n">
        <x:v>-6.102620742076681e-9</x:v>
      </x:c>
      <x:c r="J6" s="34" t="n">
        <x:v>0.020000000000000004</x:v>
      </x:c>
      <x:c r="K6" s="34" t="n">
        <x:v>0.28571428571428575</x:v>
      </x:c>
      <x:c r="L6" s="34" t="n">
        <x:v>0.28571428260070364</x:v>
      </x:c>
      <x:c r="M6" s="34" t="n">
        <x:v>0.291158684925746</x:v>
      </x:c>
      <x:c r="N6" s="34" t="n">
        <x:v>0.011656616390361882</x:v>
      </x:c>
      <x:c r="O6" s="34" t="n">
        <x:v>4.624672897385043</x:v>
      </x:c>
      <x:c r="P6" s="34" t="n">
        <x:v>4.624672893174357</x:v>
      </x:c>
      <x:c r="Q6" s="34" t="str">
        <x:v>feasible_above_1p2</x:v>
      </x:c>
      <x:c r="R6" s="34" t="n">
        <x:v>0.7982111084331782</x:v>
      </x:c>
      <x:c r="S6" s="34" t="n">
        <x:v>0.26107946101429913</x:v>
      </x:c>
      <x:c r="T6" s="34" t="n">
        <x:v>0.0020952077299382565</x:v>
      </x:c>
      <x:c r="U6" s="34" t="n">
        <x:v>0.10132500000000001</x:v>
      </x:c>
      <x:c r="V6" s="34" t="n">
        <x:v>0.14487596850065093</x:v>
      </x:c>
      <x:c r="W6" s="34" t="n">
        <x:v>0.14482596561390232</x:v>
      </x:c>
      <x:c r="X6" s="34" t="n">
        <x:v>0.1448259656139024</x:v>
      </x:c>
      <x:c r="Y6" s="34" t="n">
        <x:v>0.141325</x:v>
      </x:c>
      <x:c r="Z6" s="34" t="n">
        <x:v>0.14132499999961498</x:v>
      </x:c>
      <x:c r="AA6" s="25" t="n">
        <x:v>0.23858802917324437</x:v>
      </x:c>
      <x:c r="AB6" s="25" t="n">
        <x:v>19497.573623122145</x:v>
      </x:c>
      <x:c r="AC6" s="25" t="n">
        <x:v>31.854020305418658</x:v>
      </x:c>
      <x:c r="AD6" s="25" t="n">
        <x:v>5.94766091745479</x:v>
      </x:c>
      <x:c r="AE6" s="25" t="n">
        <x:v>0.7086741982060811</x:v>
      </x:c>
      <x:c r="AF6" s="25" t="n">
        <x:v>0</x:v>
      </x:c>
      <x:c r="AG6" s="25" t="n">
        <x:v>0</x:v>
      </x:c>
      <x:c r="AH6" s="25" t="str">
        <x:v>gas_phase_noncondensing</x:v>
      </x:c>
      <x:c r="AI6" s="25" t="n">
        <x:v>0.6063310352427637</x:v>
      </x:c>
      <x:c r="AJ6" s="25" t="n">
        <x:v>0</x:v>
      </x:c>
      <x:c r="AK6" s="25" t="str">
        <x:v>gas_phase_noncondensing</x:v>
      </x:c>
      <x:c r="AL6" s="25" t="n">
        <x:v>0.4255076111711995</x:v>
      </x:c>
      <x:c r="AM6" s="25" t="n">
        <x:v>0</x:v>
      </x:c>
      <x:c r="AN6" s="25" t="str">
        <x:v>gas_phase_noncondensing</x:v>
      </x:c>
      <x:c r="AO6" s="25" t="str">
        <x:v>within_control_tolerance</x:v>
      </x:c>
      <x:c r="AP6" s="25" t="str">
        <x:v>candidate_feasible_gas_phase_screen</x:v>
      </x:c>
      <x:c r="AQ6" s="25" t="str"/>
      <x:c r="AR6" s="34" t="n">
        <x:f>MAX(0,AE6-1)*100</x:f>
        <x:v>0</x:v>
      </x:c>
      <x:c r="AS6" s="34" t="n">
        <x:f>AF6*1000000</x:f>
        <x:v>0</x:v>
      </x:c>
      <x:c r="AT6" s="34" t="n">
        <x:f>AG6*1000000</x:f>
        <x:v>0</x:v>
      </x:c>
      <x:c r="AU6" s="34" t="n">
        <x:f>(Z6-Y6)*1000</x:f>
        <x:v>-3.850253449400043e-10</x:v>
      </x:c>
    </x:row>
    <x:row r="7" ht="18" customHeight="1">
      <x:c r="A7" s="25" t="str">
        <x:v>总流量不变</x:v>
      </x:c>
      <x:c r="B7" s="25" t="str">
        <x:v>external240_total_flow_fixed_j0p1_R1p000</x:v>
      </x:c>
      <x:c r="C7" s="33" t="b">
        <x:v>1</x:v>
      </x:c>
      <x:c r="D7" s="33" t="b">
        <x:v>1</x:v>
      </x:c>
      <x:c r="E7" s="34" t="n">
        <x:v>0.1</x:v>
      </x:c>
      <x:c r="F7" s="34" t="n">
        <x:v>5</x:v>
      </x:c>
      <x:c r="G7" s="34" t="n">
        <x:v>1</x:v>
      </x:c>
      <x:c r="H7" s="34" t="n">
        <x:v>0.9999997910174363</x:v>
      </x:c>
      <x:c r="I7" s="34" t="n">
        <x:v>-2.08982563698612e-7</x:v>
      </x:c>
      <x:c r="J7" s="34" t="n">
        <x:v>0.05</x:v>
      </x:c>
      <x:c r="K7" s="34" t="n">
        <x:v>0.5</x:v>
      </x:c>
      <x:c r="L7" s="34" t="n">
        <x:v>0.49999994775435364</x:v>
      </x:c>
      <x:c r="M7" s="34" t="n">
        <x:v>0.513133342575581</x:v>
      </x:c>
      <x:c r="N7" s="34" t="n">
        <x:v>0.02039907677195773</x:v>
      </x:c>
      <x:c r="O7" s="34" t="n">
        <x:v>4.07789160989647</x:v>
      </x:c>
      <x:c r="P7" s="34" t="n">
        <x:v>4.0778914638773145</x:v>
      </x:c>
      <x:c r="Q7" s="34" t="str">
        <x:v>feasible_above_1p2</x:v>
      </x:c>
      <x:c r="R7" s="34" t="n">
        <x:v>0.7967085832951626</x:v>
      </x:c>
      <x:c r="S7" s="34" t="n">
        <x:v>0.48404281469978794</x:v>
      </x:c>
      <x:c r="T7" s="34" t="n">
        <x:v>0.0016731003565659992</x:v>
      </x:c>
      <x:c r="U7" s="34" t="n">
        <x:v>0.10132500000000001</x:v>
      </x:c>
      <x:c r="V7" s="34" t="n">
        <x:v>0.14485060817400697</x:v>
      </x:c>
      <x:c r="W7" s="34" t="n">
        <x:v>0.14480060528726793</x:v>
      </x:c>
      <x:c r="X7" s="34" t="n">
        <x:v>0.14480060528726796</x:v>
      </x:c>
      <x:c r="Y7" s="34" t="n">
        <x:v>0.141325</x:v>
      </x:c>
      <x:c r="Z7" s="34" t="n">
        <x:v>0.14132499999372172</x:v>
      </x:c>
      <x:c r="AA7" s="25" t="n">
        <x:v>0.3967837511995441</x:v>
      </x:c>
      <x:c r="AB7" s="25" t="n">
        <x:v>17000.72757652937</x:v>
      </x:c>
      <x:c r="AC7" s="25" t="n">
        <x:v>40.670531960070946</x:v>
      </x:c>
      <x:c r="AD7" s="25" t="n">
        <x:v>5.879144286727808</x:v>
      </x:c>
      <x:c r="AE7" s="25" t="n">
        <x:v>0.7270359574796106</x:v>
      </x:c>
      <x:c r="AF7" s="25" t="n">
        <x:v>0</x:v>
      </x:c>
      <x:c r="AG7" s="25" t="n">
        <x:v>0</x:v>
      </x:c>
      <x:c r="AH7" s="25" t="str">
        <x:v>gas_phase_noncondensing</x:v>
      </x:c>
      <x:c r="AI7" s="25" t="n">
        <x:v>0.6897690823770234</x:v>
      </x:c>
      <x:c r="AJ7" s="25" t="n">
        <x:v>0</x:v>
      </x:c>
      <x:c r="AK7" s="25" t="str">
        <x:v>gas_phase_noncondensing</x:v>
      </x:c>
      <x:c r="AL7" s="25" t="n">
        <x:v>0.48328794669731945</x:v>
      </x:c>
      <x:c r="AM7" s="25" t="n">
        <x:v>0</x:v>
      </x:c>
      <x:c r="AN7" s="25" t="str">
        <x:v>gas_phase_noncondensing</x:v>
      </x:c>
      <x:c r="AO7" s="25" t="str">
        <x:v>within_control_tolerance</x:v>
      </x:c>
      <x:c r="AP7" s="25" t="str">
        <x:v>candidate_feasible_gas_phase_screen</x:v>
      </x:c>
      <x:c r="AQ7" s="25" t="str"/>
      <x:c r="AR7" s="34" t="n">
        <x:f>MAX(0,AE7-1)*100</x:f>
        <x:v>0</x:v>
      </x:c>
      <x:c r="AS7" s="34" t="n">
        <x:f>AF7*1000000</x:f>
        <x:v>0</x:v>
      </x:c>
      <x:c r="AT7" s="34" t="n">
        <x:f>AG7*1000000</x:f>
        <x:v>0</x:v>
      </x:c>
      <x:c r="AU7" s="34" t="n">
        <x:f>(Z7-Y7)*1000</x:f>
        <x:v>-6.278283448679645e-9</x:v>
      </x:c>
    </x:row>
    <x:row r="8" ht="18" customHeight="1">
      <x:c r="A8" s="25" t="str">
        <x:v>总流量不变</x:v>
      </x:c>
      <x:c r="B8" s="25" t="str">
        <x:v>external240_total_flow_fixed_j0p1_R2p000</x:v>
      </x:c>
      <x:c r="C8" s="33" t="b">
        <x:v>1</x:v>
      </x:c>
      <x:c r="D8" s="33" t="b">
        <x:v>1</x:v>
      </x:c>
      <x:c r="E8" s="34" t="n">
        <x:v>0.1</x:v>
      </x:c>
      <x:c r="F8" s="34" t="n">
        <x:v>5</x:v>
      </x:c>
      <x:c r="G8" s="34" t="n">
        <x:v>2</x:v>
      </x:c>
      <x:c r="H8" s="34" t="n">
        <x:v>1.9999854534431205</x:v>
      </x:c>
      <x:c r="I8" s="34" t="n">
        <x:v>-0.000014546556879491135</x:v>
      </x:c>
      <x:c r="J8" s="34" t="n">
        <x:v>0.1</x:v>
      </x:c>
      <x:c r="K8" s="34" t="n">
        <x:v>0.6666666666666666</x:v>
      </x:c>
      <x:c r="L8" s="34" t="n">
        <x:v>0.6666650503747336</x:v>
      </x:c>
      <x:c r="M8" s="34" t="n">
        <x:v>0.6890825318822187</x:v>
      </x:c>
      <x:c r="N8" s="34" t="n">
        <x:v>0.02719870591885911</x:v>
      </x:c>
      <x:c r="O8" s="34" t="n">
        <x:v>3.1410546881704593</x:v>
      </x:c>
      <x:c r="P8" s="34" t="n">
        <x:v>3.1410428434239646</x:v>
      </x:c>
      <x:c r="Q8" s="34" t="str">
        <x:v>feasible_above_1p2</x:v>
      </x:c>
      <x:c r="R8" s="34" t="n">
        <x:v>0.7932069027355603</x:v>
      </x:c>
      <x:c r="S8" s="34" t="n">
        <x:v>0.700216140845732</x:v>
      </x:c>
      <x:c r="T8" s="34" t="n">
        <x:v>0.001272167355194084</x:v>
      </x:c>
      <x:c r="U8" s="34" t="n">
        <x:v>0.10132500000000003</x:v>
      </x:c>
      <x:c r="V8" s="34" t="n">
        <x:v>0.14482510688045577</x:v>
      </x:c>
      <x:c r="W8" s="34" t="n">
        <x:v>0.14477510399375598</x:v>
      </x:c>
      <x:c r="X8" s="34" t="n">
        <x:v>0.14477510399375598</x:v>
      </x:c>
      <x:c r="Y8" s="34" t="n">
        <x:v>0.141325</x:v>
      </x:c>
      <x:c r="Z8" s="34" t="n">
        <x:v>0.14132499903680426</x:v>
      </x:c>
      <x:c r="AA8" s="25" t="n">
        <x:v>0.567851429917374</x:v>
      </x:c>
      <x:c r="AB8" s="25" t="n">
        <x:v>12910.16050008898</x:v>
      </x:c>
      <x:c r="AC8" s="25" t="n">
        <x:v>47.43586074687238</x:v>
      </x:c>
      <x:c r="AD8" s="25" t="n">
        <x:v>6.01091940118188</x:v>
      </x:c>
      <x:c r="AE8" s="25" t="n">
        <x:v>0.733096411039411</x:v>
      </x:c>
      <x:c r="AF8" s="25" t="n">
        <x:v>0</x:v>
      </x:c>
      <x:c r="AG8" s="25" t="n">
        <x:v>0</x:v>
      </x:c>
      <x:c r="AH8" s="25" t="str">
        <x:v>gas_phase_noncondensing</x:v>
      </x:c>
      <x:c r="AI8" s="25" t="n">
        <x:v>0.7895986361631993</x:v>
      </x:c>
      <x:c r="AJ8" s="25" t="n">
        <x:v>0</x:v>
      </x:c>
      <x:c r="AK8" s="25" t="str">
        <x:v>gas_phase_noncondensing</x:v>
      </x:c>
      <x:c r="AL8" s="25" t="n">
        <x:v>0.5531558860817282</x:v>
      </x:c>
      <x:c r="AM8" s="25" t="n">
        <x:v>0</x:v>
      </x:c>
      <x:c r="AN8" s="25" t="str">
        <x:v>gas_phase_noncondensing</x:v>
      </x:c>
      <x:c r="AO8" s="25" t="str">
        <x:v>within_control_tolerance</x:v>
      </x:c>
      <x:c r="AP8" s="25" t="str">
        <x:v>candidate_feasible_gas_phase_screen</x:v>
      </x:c>
      <x:c r="AQ8" s="25" t="str"/>
      <x:c r="AR8" s="34" t="n">
        <x:f>MAX(0,AE8-1)*100</x:f>
        <x:v>0</x:v>
      </x:c>
      <x:c r="AS8" s="34" t="n">
        <x:f>AF8*1000000</x:f>
        <x:v>0</x:v>
      </x:c>
      <x:c r="AT8" s="34" t="n">
        <x:f>AG8*1000000</x:f>
        <x:v>0</x:v>
      </x:c>
      <x:c r="AU8" s="34" t="n">
        <x:f>(Z8-Y8)*1000</x:f>
        <x:v>-9.631957453848372e-7</x:v>
      </x:c>
    </x:row>
    <x:row r="9" ht="18" customHeight="1">
      <x:c r="A9" s="25" t="str">
        <x:v>总流量不变</x:v>
      </x:c>
      <x:c r="B9" s="25" t="str">
        <x:v>external240_total_flow_fixed_j0p1_R3p000</x:v>
      </x:c>
      <x:c r="C9" s="33" t="b">
        <x:v>1</x:v>
      </x:c>
      <x:c r="D9" s="33" t="b">
        <x:v>1</x:v>
      </x:c>
      <x:c r="E9" s="34" t="n">
        <x:v>0.1</x:v>
      </x:c>
      <x:c r="F9" s="34" t="n">
        <x:v>5</x:v>
      </x:c>
      <x:c r="G9" s="34" t="n">
        <x:v>3</x:v>
      </x:c>
      <x:c r="H9" s="34" t="n">
        <x:v>2.999722520058534</x:v>
      </x:c>
      <x:c r="I9" s="34" t="n">
        <x:v>-0.0002774799414662077</x:v>
      </x:c>
      <x:c r="J9" s="34" t="n">
        <x:v>0.15000000000000002</x:v>
      </x:c>
      <x:c r="K9" s="34" t="n">
        <x:v>0.75</x:v>
      </x:c>
      <x:c r="L9" s="34" t="n">
        <x:v>0.7499826563004938</x:v>
      </x:c>
      <x:c r="M9" s="34" t="n">
        <x:v>0.7787833657651967</x:v>
      </x:c>
      <x:c r="N9" s="34" t="n">
        <x:v>0.03059791016702013</x:v>
      </x:c>
      <x:c r="O9" s="34" t="n">
        <x:v>2.127307592876446</x:v>
      </x:c>
      <x:c r="P9" s="34" t="n">
        <x:v>2.1271155663956125</x:v>
      </x:c>
      <x:c r="Q9" s="34" t="str">
        <x:v>feasible_above_1p2</x:v>
      </x:c>
      <x:c r="R9" s="34" t="n">
        <x:v>0.7877233342433054</x:v>
      </x:c>
      <x:c r="S9" s="34" t="n">
        <x:v>0.8432415766727026</x:v>
      </x:c>
      <x:c r="T9" s="34" t="n">
        <x:v>0.0010292690542973945</x:v>
      </x:c>
      <x:c r="U9" s="34" t="n">
        <x:v>0.10132500000000001</x:v>
      </x:c>
      <x:c r="V9" s="34" t="n">
        <x:v>0.14480876124549785</x:v>
      </x:c>
      <x:c r="W9" s="34" t="n">
        <x:v>0.14475875836071064</x:v>
      </x:c>
      <x:c r="X9" s="34" t="n">
        <x:v>0.14475875836071067</x:v>
      </x:c>
      <x:c r="Y9" s="34" t="n">
        <x:v>0.141325</x:v>
      </x:c>
      <x:c r="Z9" s="34" t="n">
        <x:v>0.14132499981678068</x:v>
      </x:c>
      <x:c r="AA9" s="25" t="n">
        <x:v>0.6816403941508784</x:v>
      </x:c>
      <x:c r="AB9" s="25" t="n">
        <x:v>8640.785938871868</x:v>
      </x:c>
      <x:c r="AC9" s="25" t="n">
        <x:v>50.76668710588257</x:v>
      </x:c>
      <x:c r="AD9" s="25" t="n">
        <x:v>5.834339292551917</x:v>
      </x:c>
      <x:c r="AE9" s="25" t="n">
        <x:v>0.7452163113686533</x:v>
      </x:c>
      <x:c r="AF9" s="25" t="n">
        <x:v>0</x:v>
      </x:c>
      <x:c r="AG9" s="25" t="n">
        <x:v>0</x:v>
      </x:c>
      <x:c r="AH9" s="25" t="str">
        <x:v>gas_phase_noncondensing</x:v>
      </x:c>
      <x:c r="AI9" s="25" t="n">
        <x:v>0.8606194619102285</x:v>
      </x:c>
      <x:c r="AJ9" s="25" t="n">
        <x:v>0</x:v>
      </x:c>
      <x:c r="AK9" s="25" t="str">
        <x:v>gas_phase_noncondensing</x:v>
      </x:c>
      <x:c r="AL9" s="25" t="n">
        <x:v>0.6030599465293811</x:v>
      </x:c>
      <x:c r="AM9" s="25" t="n">
        <x:v>0</x:v>
      </x:c>
      <x:c r="AN9" s="25" t="str">
        <x:v>gas_phase_noncondensing</x:v>
      </x:c>
      <x:c r="AO9" s="25" t="str">
        <x:v>within_control_tolerance</x:v>
      </x:c>
      <x:c r="AP9" s="25" t="str">
        <x:v>candidate_feasible_gas_phase_screen</x:v>
      </x:c>
      <x:c r="AQ9" s="25" t="str"/>
      <x:c r="AR9" s="34" t="n">
        <x:f>MAX(0,AE9-1)*100</x:f>
        <x:v>0</x:v>
      </x:c>
      <x:c r="AS9" s="34" t="n">
        <x:f>AF9*1000000</x:f>
        <x:v>0</x:v>
      </x:c>
      <x:c r="AT9" s="34" t="n">
        <x:f>AG9*1000000</x:f>
        <x:v>0</x:v>
      </x:c>
      <x:c r="AU9" s="34" t="n">
        <x:f>(Z9-Y9)*1000</x:f>
        <x:v>-1.8321932859777235e-7</x:v>
      </x:c>
    </x:row>
    <x:row r="10" ht="18" customHeight="1">
      <x:c r="A10" s="25" t="str">
        <x:v>总流量不变</x:v>
      </x:c>
      <x:c r="B10" s="25" t="str">
        <x:v>external240_total_flow_fixed_j0p1_R4p000</x:v>
      </x:c>
      <x:c r="C10" s="33" t="b">
        <x:v>1</x:v>
      </x:c>
      <x:c r="D10" s="33" t="b">
        <x:v>0</x:v>
      </x:c>
      <x:c r="E10" s="34" t="n">
        <x:v>0.1</x:v>
      </x:c>
      <x:c r="F10" s="34" t="n">
        <x:v>5</x:v>
      </x:c>
      <x:c r="G10" s="34" t="n">
        <x:v>4</x:v>
      </x:c>
      <x:c r="H10" s="34" t="n">
        <x:v>3.9975396446122895</x:v>
      </x:c>
      <x:c r="I10" s="34" t="n">
        <x:v>-0.0024603553877105</x:v>
      </x:c>
      <x:c r="J10" s="34" t="n">
        <x:v>0.2</x:v>
      </x:c>
      <x:c r="K10" s="34" t="n">
        <x:v>0.8</x:v>
      </x:c>
      <x:c r="L10" s="34" t="n">
        <x:v>0.7999015373293489</x:v>
      </x:c>
      <x:c r="M10" s="34" t="n">
        <x:v>0.8334317437882288</x:v>
      </x:c>
      <x:c r="N10" s="34" t="n">
        <x:v>0.032634511347045946</x:v>
      </x:c>
      <x:c r="O10" s="34" t="n">
        <x:v>1.0009829894006816</x:v>
      </x:c>
      <x:c r="P10" s="34" t="n">
        <x:v>0.9997589475128392</x:v>
      </x:c>
      <x:c r="Q10" s="34" t="str">
        <x:v>not_acceptable_below_1</x:v>
      </x:c>
      <x:c r="R10" s="34" t="n">
        <x:v>0.7319069085551235</x:v>
      </x:c>
      <x:c r="S10" s="34" t="n">
        <x:v>0.9545270617004944</x:v>
      </x:c>
      <x:c r="T10" s="34" t="n">
        <x:v>0.0008606036439033457</x:v>
      </x:c>
      <x:c r="U10" s="34" t="n">
        <x:v>0.10132500000000001</x:v>
      </x:c>
      <x:c r="V10" s="34" t="n">
        <x:v>0.14479682202098806</x:v>
      </x:c>
      <x:c r="W10" s="34" t="n">
        <x:v>0.14474681912751727</x:v>
      </x:c>
      <x:c r="X10" s="34" t="n">
        <x:v>0.1447468191275173</x:v>
      </x:c>
      <x:c r="Y10" s="34" t="n">
        <x:v>0.141325</x:v>
      </x:c>
      <x:c r="Z10" s="34" t="n">
        <x:v>0.1413249659911369</x:v>
      </x:c>
      <x:c r="AA10" s="25" t="n">
        <x:v>0.7638037950825637</x:v>
      </x:c>
      <x:c r="AB10" s="25" t="n">
        <x:v>4021.1172252117203</x:v>
      </x:c>
      <x:c r="AC10" s="25" t="n">
        <x:v>52.74694653693854</x:v>
      </x:c>
      <x:c r="AD10" s="25" t="n">
        <x:v>5.584004181614745</x:v>
      </x:c>
      <x:c r="AE10" s="25" t="n">
        <x:v>0.7578425454845792</x:v>
      </x:c>
      <x:c r="AF10" s="25" t="n">
        <x:v>0</x:v>
      </x:c>
      <x:c r="AG10" s="25" t="n">
        <x:v>0</x:v>
      </x:c>
      <x:c r="AH10" s="25" t="str">
        <x:v>gas_phase_noncondensing</x:v>
      </x:c>
      <x:c r="AI10" s="25" t="n">
        <x:v>0.9136024310650683</x:v>
      </x:c>
      <x:c r="AJ10" s="25" t="n">
        <x:v>0</x:v>
      </x:c>
      <x:c r="AK10" s="25" t="str">
        <x:v>gas_phase_noncondensing</x:v>
      </x:c>
      <x:c r="AL10" s="25" t="n">
        <x:v>0.6403584990546279</x:v>
      </x:c>
      <x:c r="AM10" s="25" t="n">
        <x:v>0</x:v>
      </x:c>
      <x:c r="AN10" s="25" t="str">
        <x:v>gas_phase_noncondensing</x:v>
      </x:c>
      <x:c r="AO10" s="25" t="str">
        <x:v>within_control_tolerance</x:v>
      </x:c>
      <x:c r="AP10" s="25" t="str">
        <x:v>not_acceptable_oer</x:v>
      </x:c>
      <x:c r="AQ10" s="25" t="str"/>
      <x:c r="AR10" s="34" t="n">
        <x:f>MAX(0,AE10-1)*100</x:f>
        <x:v>0</x:v>
      </x:c>
      <x:c r="AS10" s="34" t="n">
        <x:f>AF10*1000000</x:f>
        <x:v>0</x:v>
      </x:c>
      <x:c r="AT10" s="34" t="n">
        <x:f>AG10*1000000</x:f>
        <x:v>0</x:v>
      </x:c>
      <x:c r="AU10" s="34" t="n">
        <x:f>(Z10-Y10)*1000</x:f>
        <x:v>-0.00003400886311455409</x:v>
      </x:c>
    </x:row>
    <x:row r="11" ht="18" customHeight="1">
      <x:c r="A11" s="25" t="str">
        <x:v>总流量不变</x:v>
      </x:c>
      <x:c r="B11" s="25" t="str">
        <x:v>external240_total_flow_fixed_j0p2_R0p000</x:v>
      </x:c>
      <x:c r="C11" s="33" t="b">
        <x:v>1</x:v>
      </x:c>
      <x:c r="D11" s="33" t="b">
        <x:v>1</x:v>
      </x:c>
      <x:c r="E11" s="34" t="n">
        <x:v>0.2</x:v>
      </x:c>
      <x:c r="F11" s="34" t="n">
        <x:v>3.6</x:v>
      </x:c>
      <x:c r="G11" s="34" t="n">
        <x:v>0</x:v>
      </x:c>
      <x:c r="H11" s="34" t="n">
        <x:v>0</x:v>
      </x:c>
      <x:c r="I11" s="34" t="n">
        <x:v>0</x:v>
      </x:c>
      <x:c r="J11" s="34" t="n">
        <x:v>0.005</x:v>
      </x:c>
      <x:c r="K11" s="34" t="n">
        <x:v>0</x:v>
      </x:c>
      <x:c r="L11" s="34" t="n">
        <x:v>0</x:v>
      </x:c>
      <x:c r="M11" s="34" t="n">
        <x:v>0</x:v>
      </x:c>
      <x:c r="N11" s="34" t="n">
        <x:v>0</x:v>
      </x:c>
      <x:c r="O11" s="34" t="n">
        <x:v>3.5978724311160852</x:v>
      </x:c>
      <x:c r="P11" s="34" t="n">
        <x:v>3.5978724311160755</x:v>
      </x:c>
      <x:c r="Q11" s="34" t="str">
        <x:v>feasible_above_1p2</x:v>
      </x:c>
      <x:c r="R11" s="34" t="n">
        <x:v>0.7806292192763329</x:v>
      </x:c>
      <x:c r="S11" s="34" t="n">
        <x:v>9.999999999999998e-8</x:v>
      </x:c>
      <x:c r="T11" s="34" t="n">
        <x:v>0</x:v>
      </x:c>
      <x:c r="U11" s="34" t="n">
        <x:v>0.10132500000000001</x:v>
      </x:c>
      <x:c r="V11" s="34" t="n">
        <x:v>0.16158922253318173</x:v>
      </x:c>
      <x:c r="W11" s="34" t="n">
        <x:v>0.16148553923111883</x:v>
      </x:c>
      <x:c r="X11" s="34" t="n">
        <x:v>0.16148553923111883</x:v>
      </x:c>
      <x:c r="Y11" s="34" t="n">
        <x:v>0.156325</x:v>
      </x:c>
      <x:c r="Z11" s="34" t="n">
        <x:v>0.156325</x:v>
      </x:c>
      <x:c r="AA11" s="25" t="n">
        <x:v>0.08468252791930704</x:v>
      </x:c>
      <x:c r="AB11" s="25" t="n">
        <x:v>21278.250000000004</x:v>
      </x:c>
      <x:c r="AC11" s="25" t="n">
        <x:v>19.940278734247784</x:v>
      </x:c>
      <x:c r="AD11" s="25" t="n">
        <x:v>10.669317582397923</x:v>
      </x:c>
      <x:c r="AE11" s="25" t="n">
        <x:v>0.5018533789529082</x:v>
      </x:c>
      <x:c r="AF11" s="25" t="n">
        <x:v>0</x:v>
      </x:c>
      <x:c r="AG11" s="25" t="n">
        <x:v>0</x:v>
      </x:c>
      <x:c r="AH11" s="25" t="str">
        <x:v>gas_phase_noncondensing</x:v>
      </x:c>
      <x:c r="AI11" s="25" t="n">
        <x:v>0.7143339746361638</x:v>
      </x:c>
      <x:c r="AJ11" s="25" t="n">
        <x:v>0</x:v>
      </x:c>
      <x:c r="AK11" s="25" t="str">
        <x:v>gas_phase_noncondensing</x:v>
      </x:c>
      <x:c r="AL11" s="25" t="n">
        <x:v>0.5002646428814059</x:v>
      </x:c>
      <x:c r="AM11" s="25" t="n">
        <x:v>0</x:v>
      </x:c>
      <x:c r="AN11" s="25" t="str">
        <x:v>gas_phase_noncondensing</x:v>
      </x:c>
      <x:c r="AO11" s="25" t="str">
        <x:v>not_applicable_zero_target</x:v>
      </x:c>
      <x:c r="AP11" s="25" t="str">
        <x:v>candidate_feasible_gas_phase_screen</x:v>
      </x:c>
      <x:c r="AQ11" s="25" t="str"/>
      <x:c r="AR11" s="34" t="n">
        <x:f>MAX(0,AE11-1)*100</x:f>
        <x:v>0</x:v>
      </x:c>
      <x:c r="AS11" s="34" t="n">
        <x:f>AF11*1000000</x:f>
        <x:v>0</x:v>
      </x:c>
      <x:c r="AT11" s="34" t="n">
        <x:f>AG11*1000000</x:f>
        <x:v>0</x:v>
      </x:c>
      <x:c r="AU11" s="34" t="n">
        <x:f>(Z11-Y11)*1000</x:f>
        <x:v>0</x:v>
      </x:c>
    </x:row>
    <x:row r="12" ht="18" customHeight="1">
      <x:c r="A12" s="25" t="str">
        <x:v>总流量不变</x:v>
      </x:c>
      <x:c r="B12" s="25" t="str">
        <x:v>external240_total_flow_fixed_j0p2_R0p260</x:v>
      </x:c>
      <x:c r="C12" s="33" t="b">
        <x:v>1</x:v>
      </x:c>
      <x:c r="D12" s="33" t="b">
        <x:v>1</x:v>
      </x:c>
      <x:c r="E12" s="34" t="n">
        <x:v>0.2</x:v>
      </x:c>
      <x:c r="F12" s="34" t="n">
        <x:v>3.6</x:v>
      </x:c>
      <x:c r="G12" s="34" t="n">
        <x:v>0.26</x:v>
      </x:c>
      <x:c r="H12" s="34" t="n">
        <x:v>0.25999992216681067</x:v>
      </x:c>
      <x:c r="I12" s="34" t="n">
        <x:v>-7.783318933807237e-8</x:v>
      </x:c>
      <x:c r="J12" s="34" t="n">
        <x:v>0.013000000000000001</x:v>
      </x:c>
      <x:c r="K12" s="34" t="n">
        <x:v>0.20634920634920637</x:v>
      </x:c>
      <x:c r="L12" s="34" t="n">
        <x:v>0.2063491573235109</x:v>
      </x:c>
      <x:c r="M12" s="34" t="n">
        <x:v>0.20995176676873112</x:v>
      </x:c>
      <x:c r="N12" s="34" t="n">
        <x:v>0.012122878297022325</x:v>
      </x:c>
      <x:c r="O12" s="34" t="n">
        <x:v>3.348533170576349</x:v>
      </x:c>
      <x:c r="P12" s="34" t="n">
        <x:v>3.348533137655683</x:v>
      </x:c>
      <x:c r="Q12" s="34" t="str">
        <x:v>feasible_above_1p2</x:v>
      </x:c>
      <x:c r="R12" s="34" t="n">
        <x:v>0.7803043436189909</x:v>
      </x:c>
      <x:c r="S12" s="34" t="n">
        <x:v>0.23944478075133033</x:v>
      </x:c>
      <x:c r="T12" s="34" t="n">
        <x:v>0.002772320818541022</x:v>
      </x:c>
      <x:c r="U12" s="34" t="n">
        <x:v>0.10132500000000001</x:v>
      </x:c>
      <x:c r="V12" s="34" t="n">
        <x:v>0.1615623751295559</x:v>
      </x:c>
      <x:c r="W12" s="34" t="n">
        <x:v>0.1614586918275089</x:v>
      </x:c>
      <x:c r="X12" s="34" t="n">
        <x:v>0.16145869182750897</x:v>
      </x:c>
      <x:c r="Y12" s="34" t="n">
        <x:v>0.156325</x:v>
      </x:c>
      <x:c r="Z12" s="34" t="n">
        <x:v>0.15632499998848762</x:v>
      </x:c>
      <x:c r="AA12" s="25" t="n">
        <x:v>0.24327106953661437</x:v>
      </x:c>
      <x:c r="AB12" s="25" t="n">
        <x:v>19609.46038311602</x:v>
      </x:c>
      <x:c r="AC12" s="25" t="n">
        <x:v>29.094362881246013</x:v>
      </x:c>
      <x:c r="AD12" s="25" t="n">
        <x:v>3.1092155759322395</x:v>
      </x:c>
      <x:c r="AE12" s="25" t="n">
        <x:v>0.8337452382134322</x:v>
      </x:c>
      <x:c r="AF12" s="25" t="n">
        <x:v>0</x:v>
      </x:c>
      <x:c r="AG12" s="25" t="n">
        <x:v>0</x:v>
      </x:c>
      <x:c r="AH12" s="25" t="str">
        <x:v>gas_phase_noncondensing</x:v>
      </x:c>
      <x:c r="AI12" s="25" t="n">
        <x:v>0.8130660147602992</x:v>
      </x:c>
      <x:c r="AJ12" s="25" t="n">
        <x:v>0</x:v>
      </x:c>
      <x:c r="AK12" s="25" t="str">
        <x:v>gas_phase_noncondensing</x:v>
      </x:c>
      <x:c r="AL12" s="25" t="n">
        <x:v>0.514656944448083</x:v>
      </x:c>
      <x:c r="AM12" s="25" t="n">
        <x:v>0</x:v>
      </x:c>
      <x:c r="AN12" s="25" t="str">
        <x:v>gas_phase_noncondensing</x:v>
      </x:c>
      <x:c r="AO12" s="25" t="str">
        <x:v>within_control_tolerance</x:v>
      </x:c>
      <x:c r="AP12" s="25" t="str">
        <x:v>candidate_feasible_gas_phase_screen</x:v>
      </x:c>
      <x:c r="AQ12" s="25" t="str"/>
      <x:c r="AR12" s="34" t="n">
        <x:f>MAX(0,AE12-1)*100</x:f>
        <x:v>0</x:v>
      </x:c>
      <x:c r="AS12" s="34" t="n">
        <x:f>AF12*1000000</x:f>
        <x:v>0</x:v>
      </x:c>
      <x:c r="AT12" s="34" t="n">
        <x:f>AG12*1000000</x:f>
        <x:v>0</x:v>
      </x:c>
      <x:c r="AU12" s="34" t="n">
        <x:f>(Z12-Y12)*1000</x:f>
        <x:v>-1.1512374387123714e-8</x:v>
      </x:c>
    </x:row>
    <x:row r="13" ht="18" customHeight="1">
      <x:c r="A13" s="25" t="str">
        <x:v>总流量不变</x:v>
      </x:c>
      <x:c r="B13" s="25" t="str">
        <x:v>external240_total_flow_fixed_j0p2_R0p650</x:v>
      </x:c>
      <x:c r="C13" s="33" t="b">
        <x:v>1</x:v>
      </x:c>
      <x:c r="D13" s="33" t="b">
        <x:v>1</x:v>
      </x:c>
      <x:c r="E13" s="34" t="n">
        <x:v>0.2</x:v>
      </x:c>
      <x:c r="F13" s="34" t="n">
        <x:v>3.6</x:v>
      </x:c>
      <x:c r="G13" s="34" t="n">
        <x:v>0.65</x:v>
      </x:c>
      <x:c r="H13" s="34" t="n">
        <x:v>0.6499994167210666</x:v>
      </x:c>
      <x:c r="I13" s="34" t="n">
        <x:v>-5.832789333748423e-7</x:v>
      </x:c>
      <x:c r="J13" s="34" t="n">
        <x:v>0.0325</x:v>
      </x:c>
      <x:c r="K13" s="34" t="n">
        <x:v>0.393939393939394</x:v>
      </x:c>
      <x:c r="L13" s="34" t="n">
        <x:v>0.39393917969544917</x:v>
      </x:c>
      <x:c r="M13" s="34" t="n">
        <x:v>0.40295633710499196</x:v>
      </x:c>
      <x:c r="N13" s="34" t="n">
        <x:v>0.023143669652805</x:v>
      </x:c>
      <x:c r="O13" s="34" t="n">
        <x:v>2.977291769582218</x:v>
      </x:c>
      <x:c r="P13" s="34" t="n">
        <x:v>2.977291413339029</x:v>
      </x:c>
      <x:c r="Q13" s="34" t="str">
        <x:v>feasible_above_1p2</x:v>
      </x:c>
      <x:c r="R13" s="34" t="n">
        <x:v>0.7782849493493712</x:v>
      </x:c>
      <x:c r="S13" s="34" t="n">
        <x:v>0.4698483419722663</x:v>
      </x:c>
      <x:c r="T13" s="34" t="n">
        <x:v>0.002353479820870583</x:v>
      </x:c>
      <x:c r="U13" s="34" t="n">
        <x:v>0.10132500000000001</x:v>
      </x:c>
      <x:c r="V13" s="34" t="n">
        <x:v>0.16153342019399866</x:v>
      </x:c>
      <x:c r="W13" s="34" t="n">
        <x:v>0.1614297368920232</x:v>
      </x:c>
      <x:c r="X13" s="34" t="n">
        <x:v>0.1614297368920232</x:v>
      </x:c>
      <x:c r="Y13" s="34" t="n">
        <x:v>0.156325</x:v>
      </x:c>
      <x:c r="Z13" s="34" t="n">
        <x:v>0.15632499999005484</x:v>
      </x:c>
      <x:c r="AA13" s="25" t="n">
        <x:v>0.44247126489675176</x:v>
      </x:c>
      <x:c r="AB13" s="25" t="n">
        <x:v>17211.180452393735</x:v>
      </x:c>
      <x:c r="AC13" s="25" t="n">
        <x:v>37.380898298441764</x:v>
      </x:c>
      <x:c r="AD13" s="25" t="n">
        <x:v>0.877673521435085</x:v>
      </x:c>
      <x:c r="AE13" s="25" t="n">
        <x:v>0.9532671828271372</x:v>
      </x:c>
      <x:c r="AF13" s="25" t="n">
        <x:v>0</x:v>
      </x:c>
      <x:c r="AG13" s="25" t="n">
        <x:v>0</x:v>
      </x:c>
      <x:c r="AH13" s="25" t="str">
        <x:v>near_saturation_risk</x:v>
      </x:c>
      <x:c r="AI13" s="25" t="n">
        <x:v>0.9489086698009835</x:v>
      </x:c>
      <x:c r="AJ13" s="25" t="n">
        <x:v>0</x:v>
      </x:c>
      <x:c r="AK13" s="25" t="str">
        <x:v>gas_phase_noncondensing</x:v>
      </x:c>
      <x:c r="AL13" s="25" t="n">
        <x:v>0.5980135547659692</x:v>
      </x:c>
      <x:c r="AM13" s="25" t="n">
        <x:v>0</x:v>
      </x:c>
      <x:c r="AN13" s="25" t="str">
        <x:v>gas_phase_noncondensing</x:v>
      </x:c>
      <x:c r="AO13" s="25" t="str">
        <x:v>within_control_tolerance</x:v>
      </x:c>
      <x:c r="AP13" s="25" t="str">
        <x:v>risk_review_required</x:v>
      </x:c>
      <x:c r="AQ13" s="25" t="str"/>
      <x:c r="AR13" s="34" t="n">
        <x:f>MAX(0,AE13-1)*100</x:f>
        <x:v>0</x:v>
      </x:c>
      <x:c r="AS13" s="34" t="n">
        <x:f>AF13*1000000</x:f>
        <x:v>0</x:v>
      </x:c>
      <x:c r="AT13" s="34" t="n">
        <x:f>AG13*1000000</x:f>
        <x:v>0</x:v>
      </x:c>
      <x:c r="AU13" s="34" t="n">
        <x:f>(Z13-Y13)*1000</x:f>
        <x:v>-9.945155809987227e-9</x:v>
      </x:c>
    </x:row>
    <x:row r="14" ht="18" customHeight="1">
      <x:c r="A14" s="25" t="str">
        <x:v>总流量不变</x:v>
      </x:c>
      <x:c r="B14" s="25" t="str">
        <x:v>external240_total_flow_fixed_j0p2_R1p300</x:v>
      </x:c>
      <x:c r="C14" s="33" t="b">
        <x:v>1</x:v>
      </x:c>
      <x:c r="D14" s="33" t="b">
        <x:v>1</x:v>
      </x:c>
      <x:c r="E14" s="34" t="n">
        <x:v>0.2</x:v>
      </x:c>
      <x:c r="F14" s="34" t="n">
        <x:v>3.6</x:v>
      </x:c>
      <x:c r="G14" s="34" t="n">
        <x:v>1.3</x:v>
      </x:c>
      <x:c r="H14" s="34" t="n">
        <x:v>1.2999888727797626</x:v>
      </x:c>
      <x:c r="I14" s="34" t="n">
        <x:v>-0.000011127220237439062</x:v>
      </x:c>
      <x:c r="J14" s="34" t="n">
        <x:v>0.065</x:v>
      </x:c>
      <x:c r="K14" s="34" t="n">
        <x:v>0.5652173913043479</x:v>
      </x:c>
      <x:c r="L14" s="34" t="n">
        <x:v>0.5652152878498911</x:v>
      </x:c>
      <x:c r="M14" s="34" t="n">
        <x:v>0.5804989510241656</x:v>
      </x:c>
      <x:c r="N14" s="34" t="n">
        <x:v>0.033206029017063085</x:v>
      </x:c>
      <x:c r="O14" s="34" t="n">
        <x:v>2.345164528707453</x:v>
      </x:c>
      <x:c r="P14" s="34" t="n">
        <x:v>2.345157055934689</x:v>
      </x:c>
      <x:c r="Q14" s="34" t="str">
        <x:v>feasible_above_1p2</x:v>
      </x:c>
      <x:c r="R14" s="34" t="n">
        <x:v>0.7724346003423226</x:v>
      </x:c>
      <x:c r="S14" s="34" t="n">
        <x:v>0.7087206439042844</x:v>
      </x:c>
      <x:c r="T14" s="34" t="n">
        <x:v>0.0019219014372434478</x:v>
      </x:c>
      <x:c r="U14" s="34" t="n">
        <x:v>0.10132500000000001</x:v>
      </x:c>
      <x:c r="V14" s="34" t="n">
        <x:v>0.16151151634818814</x:v>
      </x:c>
      <x:c r="W14" s="34" t="n">
        <x:v>0.16140783304736633</x:v>
      </x:c>
      <x:c r="X14" s="34" t="n">
        <x:v>0.1614078330473664</x:v>
      </x:c>
      <x:c r="Y14" s="34" t="n">
        <x:v>0.156325</x:v>
      </x:c>
      <x:c r="Z14" s="34" t="n">
        <x:v>0.15632500067871352</x:v>
      </x:c>
      <x:c r="AA14" s="25" t="n">
        <x:v>0.7430101175876614</x:v>
      </x:c>
      <x:c r="AB14" s="25" t="n">
        <x:v>13284.631213921451</x:v>
      </x:c>
      <x:c r="AC14" s="25" t="n">
        <x:v>47.263755071553476</x:v>
      </x:c>
      <x:c r="AD14" s="25" t="n">
        <x:v>0.9385967903950103</x:v>
      </x:c>
      <x:c r="AE14" s="25" t="n">
        <x:v>0.9534551668778177</x:v>
      </x:c>
      <x:c r="AF14" s="25" t="n">
        <x:v>0</x:v>
      </x:c>
      <x:c r="AG14" s="25" t="n">
        <x:v>0</x:v>
      </x:c>
      <x:c r="AH14" s="25" t="str">
        <x:v>near_saturation_risk</x:v>
      </x:c>
      <x:c r="AI14" s="25" t="n">
        <x:v>0.9997989014027177</x:v>
      </x:c>
      <x:c r="AJ14" s="25" t="n">
        <x:v>0.00012736157371883062</x:v>
      </x:c>
      <x:c r="AK14" s="25" t="str">
        <x:v>condensing_or_supersaturated</x:v>
      </x:c>
      <x:c r="AL14" s="25" t="n">
        <x:v>0.6290205898559563</x:v>
      </x:c>
      <x:c r="AM14" s="25" t="n">
        <x:v>0</x:v>
      </x:c>
      <x:c r="AN14" s="25" t="str">
        <x:v>gas_phase_noncondensing</x:v>
      </x:c>
      <x:c r="AO14" s="25" t="str">
        <x:v>within_control_tolerance</x:v>
      </x:c>
      <x:c r="AP14" s="25" t="str">
        <x:v>risk_review_required</x:v>
      </x:c>
      <x:c r="AQ14" s="25" t="str"/>
      <x:c r="AR14" s="34" t="n">
        <x:f>MAX(0,AE14-1)*100</x:f>
        <x:v>0</x:v>
      </x:c>
      <x:c r="AS14" s="34" t="n">
        <x:f>AF14*1000000</x:f>
        <x:v>0</x:v>
      </x:c>
      <x:c r="AT14" s="34" t="n">
        <x:f>AG14*1000000</x:f>
        <x:v>0</x:v>
      </x:c>
      <x:c r="AU14" s="34" t="n">
        <x:f>(Z14-Y14)*1000</x:f>
        <x:v>6.787135298225166e-7</x:v>
      </x:c>
    </x:row>
    <x:row r="15" ht="18" customHeight="1">
      <x:c r="A15" s="25" t="str">
        <x:v>总流量不变</x:v>
      </x:c>
      <x:c r="B15" s="25" t="str">
        <x:v>external240_total_flow_fixed_j0p2_R1p950</x:v>
      </x:c>
      <x:c r="C15" s="33" t="b">
        <x:v>1</x:v>
      </x:c>
      <x:c r="D15" s="33" t="b">
        <x:v>1</x:v>
      </x:c>
      <x:c r="E15" s="34" t="n">
        <x:v>0.2</x:v>
      </x:c>
      <x:c r="F15" s="34" t="n">
        <x:v>3.6</x:v>
      </x:c>
      <x:c r="G15" s="34" t="n">
        <x:v>1.9500000000000002</x:v>
      </x:c>
      <x:c r="H15" s="34" t="n">
        <x:v>1.9499333230718863</x:v>
      </x:c>
      <x:c r="I15" s="34" t="n">
        <x:v>-0.0000666769281139068</x:v>
      </x:c>
      <x:c r="J15" s="34" t="n">
        <x:v>0.09750000000000002</x:v>
      </x:c>
      <x:c r="K15" s="34" t="n">
        <x:v>0.6610169491525424</x:v>
      </x:c>
      <x:c r="L15" s="34" t="n">
        <x:v>0.6610092871662784</x:v>
      </x:c>
      <x:c r="M15" s="34" t="n">
        <x:v>0.6805288743106003</x:v>
      </x:c>
      <x:c r="N15" s="34" t="n">
        <x:v>0.038833862910891755</x:v>
      </x:c>
      <x:c r="O15" s="34" t="n">
        <x:v>1.6975947173643156</x:v>
      </x:c>
      <x:c r="P15" s="34" t="n">
        <x:v>1.6975605390954418</x:v>
      </x:c>
      <x:c r="Q15" s="34" t="str">
        <x:v>feasible_above_1p2</x:v>
      </x:c>
      <x:c r="R15" s="34" t="n">
        <x:v>0.7651432199319859</x:v>
      </x:c>
      <x:c r="S15" s="34" t="n">
        <x:v>0.8676412544529684</x:v>
      </x:c>
      <x:c r="T15" s="34" t="n">
        <x:v>0.0016420316524778354</x:v>
      </x:c>
      <x:c r="U15" s="34" t="n">
        <x:v>0.10132500000000001</x:v>
      </x:c>
      <x:c r="V15" s="34" t="n">
        <x:v>0.16149846945073776</x:v>
      </x:c>
      <x:c r="W15" s="34" t="n">
        <x:v>0.16139478615526973</x:v>
      </x:c>
      <x:c r="X15" s="34" t="n">
        <x:v>0.16139478615526975</x:v>
      </x:c>
      <x:c r="Y15" s="34" t="n">
        <x:v>0.156325</x:v>
      </x:c>
      <x:c r="Z15" s="34" t="n">
        <x:v>0.1563250004819727</x:v>
      </x:c>
      <x:c r="AA15" s="25" t="n">
        <x:v>0.9954703333521502</x:v>
      </x:c>
      <x:c r="AB15" s="25" t="n">
        <x:v>9430.547866061575</x:v>
      </x:c>
      <x:c r="AC15" s="25" t="n">
        <x:v>54.42869542847717</x:v>
      </x:c>
      <x:c r="AD15" s="25" t="n">
        <x:v>2.064673165430449</x:v>
      </x:c>
      <x:c r="AE15" s="25" t="n">
        <x:v>0.9047781238411442</x:v>
      </x:c>
      <x:c r="AF15" s="25" t="n">
        <x:v>0</x:v>
      </x:c>
      <x:c r="AG15" s="25" t="n">
        <x:v>0</x:v>
      </x:c>
      <x:c r="AH15" s="25" t="str">
        <x:v>gas_phase_noncondensing</x:v>
      </x:c>
      <x:c r="AI15" s="25" t="n">
        <x:v>1.0004694976367356</x:v>
      </x:c>
      <x:c r="AJ15" s="25" t="n">
        <x:v>0.0002565928909975278</x:v>
      </x:c>
      <x:c r="AK15" s="25" t="str">
        <x:v>condensing_or_supersaturated</x:v>
      </x:c>
      <x:c r="AL15" s="25" t="n">
        <x:v>0.6293761835068349</x:v>
      </x:c>
      <x:c r="AM15" s="25" t="n">
        <x:v>0</x:v>
      </x:c>
      <x:c r="AN15" s="25" t="str">
        <x:v>gas_phase_noncondensing</x:v>
      </x:c>
      <x:c r="AO15" s="25" t="str">
        <x:v>within_control_tolerance</x:v>
      </x:c>
      <x:c r="AP15" s="25" t="str">
        <x:v>candidate_feasible_gas_phase_screen</x:v>
      </x:c>
      <x:c r="AQ15" s="25" t="str"/>
      <x:c r="AR15" s="34" t="n">
        <x:f>MAX(0,AE15-1)*100</x:f>
        <x:v>0</x:v>
      </x:c>
      <x:c r="AS15" s="34" t="n">
        <x:f>AF15*1000000</x:f>
        <x:v>0</x:v>
      </x:c>
      <x:c r="AT15" s="34" t="n">
        <x:f>AG15*1000000</x:f>
        <x:v>0</x:v>
      </x:c>
      <x:c r="AU15" s="34" t="n">
        <x:f>(Z15-Y15)*1000</x:f>
        <x:v>4.819727117411077e-7</x:v>
      </x:c>
    </x:row>
    <x:row r="16" ht="18" customHeight="1">
      <x:c r="A16" s="25" t="str">
        <x:v>总流量不变</x:v>
      </x:c>
      <x:c r="B16" s="25" t="str">
        <x:v>external240_total_flow_fixed_j0p2_R2p600</x:v>
      </x:c>
      <x:c r="C16" s="33" t="b">
        <x:v>1</x:v>
      </x:c>
      <x:c r="D16" s="33" t="b">
        <x:v>1</x:v>
      </x:c>
      <x:c r="E16" s="34" t="n">
        <x:v>0.2</x:v>
      </x:c>
      <x:c r="F16" s="34" t="n">
        <x:v>3.6</x:v>
      </x:c>
      <x:c r="G16" s="34" t="n">
        <x:v>2.6</x:v>
      </x:c>
      <x:c r="H16" s="34" t="n">
        <x:v>2.5997016764362564</x:v>
      </x:c>
      <x:c r="I16" s="34" t="n">
        <x:v>-0.0002983235637437076</x:v>
      </x:c>
      <x:c r="J16" s="34" t="n">
        <x:v>0.13</x:v>
      </x:c>
      <x:c r="K16" s="34" t="n">
        <x:v>0.7222222222222222</x:v>
      </x:c>
      <x:c r="L16" s="34" t="n">
        <x:v>0.7221992015208649</x:v>
      </x:c>
      <x:c r="M16" s="34" t="n">
        <x:v>0.7436927441398449</x:v>
      </x:c>
      <x:c r="N16" s="34" t="n">
        <x:v>0.042428728093366265</x:v>
      </x:c>
      <x:c r="O16" s="34" t="n">
        <x:v>1.1162811715007963</x:v>
      </x:c>
      <x:c r="P16" s="34" t="n">
        <x:v>1.1161325491624408</x:v>
      </x:c>
      <x:c r="Q16" s="34" t="str">
        <x:v>risk_1_to_1p2</x:v>
      </x:c>
      <x:c r="R16" s="34" t="n">
        <x:v>0.752042908897835</x:v>
      </x:c>
      <x:c r="S16" s="34" t="n">
        <x:v>0.9808520848167838</x:v>
      </x:c>
      <x:c r="T16" s="34" t="n">
        <x:v>0.0014371319146997195</x:v>
      </x:c>
      <x:c r="U16" s="34" t="n">
        <x:v>0.10132500000000003</x:v>
      </x:c>
      <x:c r="V16" s="34" t="n">
        <x:v>0.16149726600882622</x:v>
      </x:c>
      <x:c r="W16" s="34" t="n">
        <x:v>0.16139358272425544</x:v>
      </x:c>
      <x:c r="X16" s="34" t="n">
        <x:v>0.16139358272425547</x:v>
      </x:c>
      <x:c r="Y16" s="34" t="n">
        <x:v>0.156325</x:v>
      </x:c>
      <x:c r="Z16" s="34" t="n">
        <x:v>0.15632500207586136</x:v>
      </x:c>
      <x:c r="AA16" s="25" t="n">
        <x:v>1.002848341901622</x:v>
      </x:c>
      <x:c r="AB16" s="25" t="n">
        <x:v>6100.95227284516</x:v>
      </x:c>
      <x:c r="AC16" s="25" t="n">
        <x:v>57.20516706287873</x:v>
      </x:c>
      <x:c r="AD16" s="25" t="n">
        <x:v>3.3094685885593265</x:v>
      </x:c>
      <x:c r="AE16" s="25" t="n">
        <x:v>0.8538472142669814</x:v>
      </x:c>
      <x:c r="AF16" s="25" t="n">
        <x:v>0</x:v>
      </x:c>
      <x:c r="AG16" s="25" t="n">
        <x:v>0</x:v>
      </x:c>
      <x:c r="AH16" s="25" t="str">
        <x:v>gas_phase_noncondensing</x:v>
      </x:c>
      <x:c r="AI16" s="25" t="n">
        <x:v>1.0004232004547016</x:v>
      </x:c>
      <x:c r="AJ16" s="25" t="n">
        <x:v>0.00026027958755523735</x:v>
      </x:c>
      <x:c r="AK16" s="25" t="str">
        <x:v>condensing_or_supersaturated</x:v>
      </x:c>
      <x:c r="AL16" s="25" t="n">
        <x:v>0.6294461785966984</x:v>
      </x:c>
      <x:c r="AM16" s="25" t="n">
        <x:v>0</x:v>
      </x:c>
      <x:c r="AN16" s="25" t="str">
        <x:v>gas_phase_noncondensing</x:v>
      </x:c>
      <x:c r="AO16" s="25" t="str">
        <x:v>within_control_tolerance</x:v>
      </x:c>
      <x:c r="AP16" s="25" t="str">
        <x:v>risk_review_required</x:v>
      </x:c>
      <x:c r="AQ16" s="25" t="str"/>
      <x:c r="AR16" s="34" t="n">
        <x:f>MAX(0,AE16-1)*100</x:f>
        <x:v>0</x:v>
      </x:c>
      <x:c r="AS16" s="34" t="n">
        <x:f>AF16*1000000</x:f>
        <x:v>0</x:v>
      </x:c>
      <x:c r="AT16" s="34" t="n">
        <x:f>AG16*1000000</x:f>
        <x:v>0</x:v>
      </x:c>
      <x:c r="AU16" s="34" t="n">
        <x:f>(Z16-Y16)*1000</x:f>
        <x:v>0.0000020758613716864716</x:v>
      </x:c>
    </x:row>
    <x:row r="17" ht="18" customHeight="1">
      <x:c r="A17" s="25" t="str">
        <x:v>总流量不变</x:v>
      </x:c>
      <x:c r="B17" s="25" t="str">
        <x:v>external240_total_flow_fixed_j0p4_R0p000</x:v>
      </x:c>
      <x:c r="C17" s="33" t="b">
        <x:v>1</x:v>
      </x:c>
      <x:c r="D17" s="33" t="b">
        <x:v>1</x:v>
      </x:c>
      <x:c r="E17" s="34" t="n">
        <x:v>0.4</x:v>
      </x:c>
      <x:c r="F17" s="34" t="n">
        <x:v>2.4</x:v>
      </x:c>
      <x:c r="G17" s="34" t="n">
        <x:v>0</x:v>
      </x:c>
      <x:c r="H17" s="34" t="n">
        <x:v>0</x:v>
      </x:c>
      <x:c r="I17" s="34" t="n">
        <x:v>0</x:v>
      </x:c>
      <x:c r="J17" s="34" t="n">
        <x:v>0.005</x:v>
      </x:c>
      <x:c r="K17" s="34" t="n">
        <x:v>0</x:v>
      </x:c>
      <x:c r="L17" s="34" t="n">
        <x:v>0</x:v>
      </x:c>
      <x:c r="M17" s="34" t="n">
        <x:v>0</x:v>
      </x:c>
      <x:c r="N17" s="34" t="n">
        <x:v>0</x:v>
      </x:c>
      <x:c r="O17" s="34" t="n">
        <x:v>2.3985816207443227</x:v>
      </x:c>
      <x:c r="P17" s="34" t="n">
        <x:v>2.398581620744314</x:v>
      </x:c>
      <x:c r="Q17" s="34" t="str">
        <x:v>feasible_above_1p2</x:v>
      </x:c>
      <x:c r="R17" s="34" t="n">
        <x:v>0.7585316796515074</x:v>
      </x:c>
      <x:c r="S17" s="34" t="n">
        <x:v>9.999999999999997e-8</x:v>
      </x:c>
      <x:c r="T17" s="34" t="n">
        <x:v>0</x:v>
      </x:c>
      <x:c r="U17" s="34" t="n">
        <x:v>0.10132500000000001</x:v>
      </x:c>
      <x:c r="V17" s="34" t="n">
        <x:v>0.17858282706860215</x:v>
      </x:c>
      <x:c r="W17" s="34" t="n">
        <x:v>0.178398503142676</x:v>
      </x:c>
      <x:c r="X17" s="34" t="n">
        <x:v>0.17839850314267602</x:v>
      </x:c>
      <x:c r="Y17" s="34" t="n">
        <x:v>0.171325</x:v>
      </x:c>
      <x:c r="Z17" s="34" t="n">
        <x:v>0.171325</x:v>
      </x:c>
      <x:c r="AA17" s="25" t="n">
        <x:v>0.08136281710010712</x:v>
      </x:c>
      <x:c r="AB17" s="25" t="n">
        <x:v>21278.250000000004</x:v>
      </x:c>
      <x:c r="AC17" s="25" t="n">
        <x:v>19.8938688918102</x:v>
      </x:c>
      <x:c r="AD17" s="25" t="n">
        <x:v>10.62290773996034</x:v>
      </x:c>
      <x:c r="AE17" s="25" t="n">
        <x:v>0.5032989885905986</x:v>
      </x:c>
      <x:c r="AF17" s="25" t="n">
        <x:v>0</x:v>
      </x:c>
      <x:c r="AG17" s="25" t="n">
        <x:v>0</x:v>
      </x:c>
      <x:c r="AH17" s="25" t="str">
        <x:v>gas_phase_noncondensing</x:v>
      </x:c>
      <x:c r="AI17" s="25" t="n">
        <x:v>0.9995911620114377</x:v>
      </x:c>
      <x:c r="AJ17" s="25" t="n">
        <x:v>0.000024675846153910834</x:v>
      </x:c>
      <x:c r="AK17" s="25" t="str">
        <x:v>condensing_or_supersaturated</x:v>
      </x:c>
      <x:c r="AL17" s="25" t="n">
        <x:v>0.500469301971667</x:v>
      </x:c>
      <x:c r="AM17" s="25" t="n">
        <x:v>0</x:v>
      </x:c>
      <x:c r="AN17" s="25" t="str">
        <x:v>gas_phase_noncondensing</x:v>
      </x:c>
      <x:c r="AO17" s="25" t="str">
        <x:v>not_applicable_zero_target</x:v>
      </x:c>
      <x:c r="AP17" s="25" t="str">
        <x:v>candidate_feasible_gas_phase_screen</x:v>
      </x:c>
      <x:c r="AQ17" s="25" t="str"/>
      <x:c r="AR17" s="34" t="n">
        <x:f>MAX(0,AE17-1)*100</x:f>
        <x:v>0</x:v>
      </x:c>
      <x:c r="AS17" s="34" t="n">
        <x:f>AF17*1000000</x:f>
        <x:v>0</x:v>
      </x:c>
      <x:c r="AT17" s="34" t="n">
        <x:f>AG17*1000000</x:f>
        <x:v>0</x:v>
      </x:c>
      <x:c r="AU17" s="34" t="n">
        <x:f>(Z17-Y17)*1000</x:f>
        <x:v>0</x:v>
      </x:c>
    </x:row>
    <x:row r="18" ht="18" customHeight="1">
      <x:c r="A18" s="25" t="str">
        <x:v>总流量不变</x:v>
      </x:c>
      <x:c r="B18" s="25" t="str">
        <x:v>external240_total_flow_fixed_j0p4_R0p140</x:v>
      </x:c>
      <x:c r="C18" s="33" t="b">
        <x:v>1</x:v>
      </x:c>
      <x:c r="D18" s="33" t="b">
        <x:v>1</x:v>
      </x:c>
      <x:c r="E18" s="34" t="n">
        <x:v>0.4</x:v>
      </x:c>
      <x:c r="F18" s="34" t="n">
        <x:v>2.4</x:v>
      </x:c>
      <x:c r="G18" s="34" t="n">
        <x:v>0.13999999999999999</x:v>
      </x:c>
      <x:c r="H18" s="34" t="n">
        <x:v>0.1399996624112142</x:v>
      </x:c>
      <x:c r="I18" s="34" t="n">
        <x:v>-3.375887857870463e-7</x:v>
      </x:c>
      <x:c r="J18" s="34" t="n">
        <x:v>0.006999999999999999</x:v>
      </x:c>
      <x:c r="K18" s="34" t="n">
        <x:v>0.12280701754385964</x:v>
      </x:c>
      <x:c r="L18" s="34" t="n">
        <x:v>0.12280675778017404</x:v>
      </x:c>
      <x:c r="M18" s="34" t="n">
        <x:v>0.12410114036712692</x:v>
      </x:c>
      <x:c r="N18" s="34" t="n">
        <x:v>0.00961975580380094</x:v>
      </x:c>
      <x:c r="O18" s="34" t="n">
        <x:v>2.2604418545485543</x:v>
      </x:c>
      <x:c r="P18" s="34" t="n">
        <x:v>2.2604416664284797</x:v>
      </x:c>
      <x:c r="Q18" s="34" t="str">
        <x:v>feasible_above_1p2</x:v>
      </x:c>
      <x:c r="R18" s="34" t="n">
        <x:v>0.7562109128444189</x:v>
      </x:c>
      <x:c r="S18" s="34" t="n">
        <x:v>0.17444196828393638</x:v>
      </x:c>
      <x:c r="T18" s="34" t="n">
        <x:v>0.003536680426670349</x:v>
      </x:c>
      <x:c r="U18" s="34" t="n">
        <x:v>0.10132500000000001</x:v>
      </x:c>
      <x:c r="V18" s="34" t="n">
        <x:v>0.17857256422919934</x:v>
      </x:c>
      <x:c r="W18" s="34" t="n">
        <x:v>0.1783882403034975</x:v>
      </x:c>
      <x:c r="X18" s="34" t="n">
        <x:v>0.17838824030349754</x:v>
      </x:c>
      <x:c r="Y18" s="34" t="n">
        <x:v>0.171325</x:v>
      </x:c>
      <x:c r="Z18" s="34" t="n">
        <x:v>0.17132500005395654</x:v>
      </x:c>
      <x:c r="AA18" s="25" t="n">
        <x:v>0.22300563485395272</x:v>
      </x:c>
      <x:c r="AB18" s="25" t="n">
        <x:v>19874.06048788135</x:v>
      </x:c>
      <x:c r="AC18" s="25" t="n">
        <x:v>26.309782252454568</x:v>
      </x:c>
      <x:c r="AD18" s="25" t="n">
        <x:v>1.1179203461361311</x:v>
      </x:c>
      <x:c r="AE18" s="25" t="n">
        <x:v>0.9358835046681308</x:v>
      </x:c>
      <x:c r="AF18" s="25" t="n">
        <x:v>0</x:v>
      </x:c>
      <x:c r="AG18" s="25" t="n">
        <x:v>0</x:v>
      </x:c>
      <x:c r="AH18" s="25" t="str">
        <x:v>near_saturation_risk</x:v>
      </x:c>
      <x:c r="AI18" s="25" t="n">
        <x:v>0.999827764967106</x:v>
      </x:c>
      <x:c r="AJ18" s="25" t="n">
        <x:v>0.00012651658913524254</x:v>
      </x:c>
      <x:c r="AK18" s="25" t="str">
        <x:v>condensing_or_supersaturated</x:v>
      </x:c>
      <x:c r="AL18" s="25" t="n">
        <x:v>0.5799003593786253</x:v>
      </x:c>
      <x:c r="AM18" s="25" t="n">
        <x:v>0</x:v>
      </x:c>
      <x:c r="AN18" s="25" t="str">
        <x:v>gas_phase_noncondensing</x:v>
      </x:c>
      <x:c r="AO18" s="25" t="str">
        <x:v>within_control_tolerance</x:v>
      </x:c>
      <x:c r="AP18" s="25" t="str">
        <x:v>risk_review_required</x:v>
      </x:c>
      <x:c r="AQ18" s="25" t="str"/>
      <x:c r="AR18" s="34" t="n">
        <x:f>MAX(0,AE18-1)*100</x:f>
        <x:v>0</x:v>
      </x:c>
      <x:c r="AS18" s="34" t="n">
        <x:f>AF18*1000000</x:f>
        <x:v>0</x:v>
      </x:c>
      <x:c r="AT18" s="34" t="n">
        <x:f>AG18*1000000</x:f>
        <x:v>0</x:v>
      </x:c>
      <x:c r="AU18" s="34" t="n">
        <x:f>(Z18-Y18)*1000</x:f>
        <x:v>5.3956533685450836e-8</x:v>
      </x:c>
    </x:row>
    <x:row r="19" ht="18" customHeight="1">
      <x:c r="A19" s="25" t="str">
        <x:v>总流量不变</x:v>
      </x:c>
      <x:c r="B19" s="25" t="str">
        <x:v>external240_total_flow_fixed_j0p4_R0p350</x:v>
      </x:c>
      <x:c r="C19" s="33" t="b">
        <x:v>1</x:v>
      </x:c>
      <x:c r="D19" s="33" t="b">
        <x:v>1</x:v>
      </x:c>
      <x:c r="E19" s="34" t="n">
        <x:v>0.4</x:v>
      </x:c>
      <x:c r="F19" s="34" t="n">
        <x:v>2.4</x:v>
      </x:c>
      <x:c r="G19" s="34" t="n">
        <x:v>0.35</x:v>
      </x:c>
      <x:c r="H19" s="34" t="n">
        <x:v>0.34999865019611576</x:v>
      </x:c>
      <x:c r="I19" s="34" t="n">
        <x:v>-0.0000013498038842207905</x:v>
      </x:c>
      <x:c r="J19" s="34" t="n">
        <x:v>0.017499999999999998</x:v>
      </x:c>
      <x:c r="K19" s="34" t="n">
        <x:v>0.25925925925925924</x:v>
      </x:c>
      <x:c r="L19" s="34" t="n">
        <x:v>0.2592585186253859</x:v>
      </x:c>
      <x:c r="M19" s="34" t="n">
        <x:v>0.26244815040133507</x:v>
      </x:c>
      <x:c r="N19" s="34" t="n">
        <x:v>0.02030835828009839</x:v>
      </x:c>
      <x:c r="O19" s="34" t="n">
        <x:v>2.0531383936862597</x:v>
      </x:c>
      <x:c r="P19" s="34" t="n">
        <x:v>2.0531376606136695</x:v>
      </x:c>
      <x:c r="Q19" s="34" t="str">
        <x:v>feasible_above_1p2</x:v>
      </x:c>
      <x:c r="R19" s="34" t="n">
        <x:v>0.7528491816760369</x:v>
      </x:c>
      <x:c r="S19" s="34" t="n">
        <x:v>0.37180094910997835</x:v>
      </x:c>
      <x:c r="T19" s="34" t="n">
        <x:v>0.0032102694195422924</x:v>
      </x:c>
      <x:c r="U19" s="34" t="n">
        <x:v>0.10132500000000003</x:v>
      </x:c>
      <x:c r="V19" s="34" t="n">
        <x:v>0.17855894183529725</x:v>
      </x:c>
      <x:c r="W19" s="34" t="n">
        <x:v>0.17837461791004097</x:v>
      </x:c>
      <x:c r="X19" s="34" t="n">
        <x:v>0.17837461791004103</x:v>
      </x:c>
      <x:c r="Y19" s="34" t="n">
        <x:v>0.171325</x:v>
      </x:c>
      <x:c r="Z19" s="34" t="n">
        <x:v>0.17132500006326054</x:v>
      </x:c>
      <x:c r="AA19" s="25" t="n">
        <x:v>0.42558382271418504</x:v>
      </x:c>
      <x:c r="AB19" s="25" t="n">
        <x:v>17818.00804916011</x:v>
      </x:c>
      <x:c r="AC19" s="25" t="n">
        <x:v>34.34187376262008</x:v>
      </x:c>
      <x:c r="AD19" s="25" t="n">
        <x:v>-2.177965343938425</x:v>
      </x:c>
      <x:c r="AE19" s="25" t="n">
        <x:v>1.1276021664588292</x:v>
      </x:c>
      <x:c r="AF19" s="25" t="n">
        <x:v>4.98484697889121e-7</x:v>
      </x:c>
      <x:c r="AG19" s="25" t="n">
        <x:v>0.000029909081873347262</x:v>
      </x:c>
      <x:c r="AH19" s="25" t="str">
        <x:v>condensing_or_supersaturated</x:v>
      </x:c>
      <x:c r="AI19" s="25" t="n">
        <x:v>0.9998371541540712</x:v>
      </x:c>
      <x:c r="AJ19" s="25" t="n">
        <x:v>0.00026467019434178187</x:v>
      </x:c>
      <x:c r="AK19" s="25" t="str">
        <x:v>condensing_or_supersaturated</x:v>
      </x:c>
      <x:c r="AL19" s="25" t="n">
        <x:v>0.5752470279963501</x:v>
      </x:c>
      <x:c r="AM19" s="25" t="n">
        <x:v>0</x:v>
      </x:c>
      <x:c r="AN19" s="25" t="str">
        <x:v>gas_phase_noncondensing</x:v>
      </x:c>
      <x:c r="AO19" s="25" t="str">
        <x:v>within_control_tolerance</x:v>
      </x:c>
      <x:c r="AP19" s="25" t="str">
        <x:v>not_acceptable_mixer_condensation</x:v>
      </x:c>
      <x:c r="AQ19" s="25" t="str"/>
      <x:c r="AR19" s="34" t="n">
        <x:f>MAX(0,AE19-1)*100</x:f>
        <x:v>12.760216645882917</x:v>
      </x:c>
      <x:c r="AS19" s="34" t="n">
        <x:f>AF19*1000000</x:f>
        <x:v>0.498484697889121</x:v>
      </x:c>
      <x:c r="AT19" s="34" t="n">
        <x:f>AG19*1000000</x:f>
        <x:v>29.90908187334726</x:v>
      </x:c>
      <x:c r="AU19" s="34" t="n">
        <x:f>(Z19-Y19)*1000</x:f>
        <x:v>6.326053569871704e-8</x:v>
      </x:c>
    </x:row>
    <x:row r="20" ht="18" customHeight="1">
      <x:c r="A20" s="25" t="str">
        <x:v>总流量不变</x:v>
      </x:c>
      <x:c r="B20" s="25" t="str">
        <x:v>external240_total_flow_fixed_j0p4_R0p700</x:v>
      </x:c>
      <x:c r="C20" s="33" t="b">
        <x:v>1</x:v>
      </x:c>
      <x:c r="D20" s="33" t="b">
        <x:v>1</x:v>
      </x:c>
      <x:c r="E20" s="34" t="n">
        <x:v>0.4</x:v>
      </x:c>
      <x:c r="F20" s="34" t="n">
        <x:v>2.4</x:v>
      </x:c>
      <x:c r="G20" s="34" t="n">
        <x:v>0.7</x:v>
      </x:c>
      <x:c r="H20" s="34" t="n">
        <x:v>0.699993329782037</x:v>
      </x:c>
      <x:c r="I20" s="34" t="n">
        <x:v>-0.000006670217962967406</x:v>
      </x:c>
      <x:c r="J20" s="34" t="n">
        <x:v>0.034999999999999996</x:v>
      </x:c>
      <x:c r="K20" s="34" t="n">
        <x:v>0.4117647058823529</x:v>
      </x:c>
      <x:c r="L20" s="34" t="n">
        <x:v>0.41176239783939744</x:v>
      </x:c>
      <x:c r="M20" s="34" t="n">
        <x:v>0.41791161811389893</x:v>
      </x:c>
      <x:c r="N20" s="34" t="n">
        <x:v>0.03225436258042717</x:v>
      </x:c>
      <x:c r="O20" s="34" t="n">
        <x:v>1.7060132064050242</x:v>
      </x:c>
      <x:c r="P20" s="34" t="n">
        <x:v>1.706009554026061</x:v>
      </x:c>
      <x:c r="Q20" s="34" t="str">
        <x:v>feasible_above_1p2</x:v>
      </x:c>
      <x:c r="R20" s="34" t="n">
        <x:v>0.7471679378966917</x:v>
      </x:c>
      <x:c r="S20" s="34" t="n">
        <x:v>0.6026662066330208</x:v>
      </x:c>
      <x:c r="T20" s="34" t="n">
        <x:v>0.002813246515216705</x:v>
      </x:c>
      <x:c r="U20" s="34" t="n">
        <x:v>0.10132500000000001</x:v>
      </x:c>
      <x:c r="V20" s="34" t="n">
        <x:v>0.17853871200304455</x:v>
      </x:c>
      <x:c r="W20" s="34" t="n">
        <x:v>0.1783543880795423</x:v>
      </x:c>
      <x:c r="X20" s="34" t="n">
        <x:v>0.1783543880795423</x:v>
      </x:c>
      <x:c r="Y20" s="34" t="n">
        <x:v>0.171325</x:v>
      </x:c>
      <x:c r="Z20" s="34" t="n">
        <x:v>0.1713250009145401</x:v>
      </x:c>
      <x:c r="AA20" s="25" t="n">
        <x:v>0.7415659333037942</x:v>
      </x:c>
      <x:c r="AB20" s="25" t="n">
        <x:v>14500.623166462245</x:v>
      </x:c>
      <x:c r="AC20" s="25" t="n">
        <x:v>44.72886487148918</x:v>
      </x:c>
      <x:c r="AD20" s="25" t="n">
        <x:v>-2.3417860664874297</x:v>
      </x:c>
      <x:c r="AE20" s="25" t="n">
        <x:v>1.127137315267153</x:v>
      </x:c>
      <x:c r="AF20" s="25" t="n">
        <x:v>8.488754233696122e-7</x:v>
      </x:c>
      <x:c r="AG20" s="25" t="n">
        <x:v>0.00005093252540217673</x:v>
      </x:c>
      <x:c r="AH20" s="25" t="str">
        <x:v>condensing_or_supersaturated</x:v>
      </x:c>
      <x:c r="AI20" s="25" t="n">
        <x:v>1.0001957864668525</x:v>
      </x:c>
      <x:c r="AJ20" s="25" t="n">
        <x:v>0.0004651314223572497</x:v>
      </x:c>
      <x:c r="AK20" s="25" t="str">
        <x:v>condensing_or_supersaturated</x:v>
      </x:c>
      <x:c r="AL20" s="25" t="n">
        <x:v>0.5721692645629869</x:v>
      </x:c>
      <x:c r="AM20" s="25" t="n">
        <x:v>0</x:v>
      </x:c>
      <x:c r="AN20" s="25" t="str">
        <x:v>gas_phase_noncondensing</x:v>
      </x:c>
      <x:c r="AO20" s="25" t="str">
        <x:v>within_control_tolerance</x:v>
      </x:c>
      <x:c r="AP20" s="25" t="str">
        <x:v>not_acceptable_mixer_condensation</x:v>
      </x:c>
      <x:c r="AQ20" s="25" t="str"/>
      <x:c r="AR20" s="34" t="n">
        <x:f>MAX(0,AE20-1)*100</x:f>
        <x:v>12.71373152671531</x:v>
      </x:c>
      <x:c r="AS20" s="34" t="n">
        <x:f>AF20*1000000</x:f>
        <x:v>0.8488754233696122</x:v>
      </x:c>
      <x:c r="AT20" s="34" t="n">
        <x:f>AG20*1000000</x:f>
        <x:v>50.93252540217673</x:v>
      </x:c>
      <x:c r="AU20" s="34" t="n">
        <x:f>(Z20-Y20)*1000</x:f>
        <x:v>9.145400825527616e-7</x:v>
      </x:c>
    </x:row>
    <x:row r="21" ht="18" customHeight="1">
      <x:c r="A21" s="25" t="str">
        <x:v>总流量不变</x:v>
      </x:c>
      <x:c r="B21" s="25" t="str">
        <x:v>external240_total_flow_fixed_j0p4_R1p050</x:v>
      </x:c>
      <x:c r="C21" s="33" t="b">
        <x:v>1</x:v>
      </x:c>
      <x:c r="D21" s="33" t="b">
        <x:v>1</x:v>
      </x:c>
      <x:c r="E21" s="34" t="n">
        <x:v>0.4</x:v>
      </x:c>
      <x:c r="F21" s="34" t="n">
        <x:v>2.4</x:v>
      </x:c>
      <x:c r="G21" s="34" t="n">
        <x:v>1.0499999999999998</x:v>
      </x:c>
      <x:c r="H21" s="34" t="n">
        <x:v>1.0499822682086781</x:v>
      </x:c>
      <x:c r="I21" s="34" t="n">
        <x:v>-0.000017731791321695667</x:v>
      </x:c>
      <x:c r="J21" s="34" t="n">
        <x:v>0.05249999999999999</x:v>
      </x:c>
      <x:c r="K21" s="34" t="n">
        <x:v>0.5121951219512195</x:v>
      </x:c>
      <x:c r="L21" s="34" t="n">
        <x:v>0.5121909025711513</x:v>
      </x:c>
      <x:c r="M21" s="34" t="n">
        <x:v>0.5208620157804627</x:v>
      </x:c>
      <x:c r="N21" s="34" t="n">
        <x:v>0.040121173948530195</x:v>
      </x:c>
      <x:c r="O21" s="34" t="n">
        <x:v>1.3658775937231333</x:v>
      </x:c>
      <x:c r="P21" s="34" t="n">
        <x:v>1.3658697972771605</x:v>
      </x:c>
      <x:c r="Q21" s="34" t="str">
        <x:v>feasible_above_1p2</x:v>
      </x:c>
      <x:c r="R21" s="34" t="n">
        <x:v>0.7404028030508497</x:v>
      </x:c>
      <x:c r="S21" s="34" t="n">
        <x:v>0.7655397141106679</x:v>
      </x:c>
      <x:c r="T21" s="34" t="n">
        <x:v>0.002523014028685719</x:v>
      </x:c>
      <x:c r="U21" s="34" t="n">
        <x:v>0.10132500000000001</x:v>
      </x:c>
      <x:c r="V21" s="34" t="n">
        <x:v>0.17852344515193633</x:v>
      </x:c>
      <x:c r="W21" s="34" t="n">
        <x:v>0.17833912123496662</x:v>
      </x:c>
      <x:c r="X21" s="34" t="n">
        <x:v>0.17833912123496667</x:v>
      </x:c>
      <x:c r="Y21" s="34" t="n">
        <x:v>0.171325</x:v>
      </x:c>
      <x:c r="Z21" s="34" t="n">
        <x:v>0.17132500051511526</x:v>
      </x:c>
      <x:c r="AA21" s="25" t="n">
        <x:v>0.9937173485530759</x:v>
      </x:c>
      <x:c r="AB21" s="25" t="n">
        <x:v>11369.96821916851</x:v>
      </x:c>
      <x:c r="AC21" s="25" t="n">
        <x:v>52.28712681967198</x:v>
      </x:c>
      <x:c r="AD21" s="25" t="n">
        <x:v>-1.091373508852925</x:v>
      </x:c>
      <x:c r="AE21" s="25" t="n">
        <x:v>1.0545384302518528</x:v>
      </x:c>
      <x:c r="AF21" s="25" t="n">
        <x:v>5.370655400583286e-7</x:v>
      </x:c>
      <x:c r="AG21" s="25" t="n">
        <x:v>0.00003222393240349972</x:v>
      </x:c>
      <x:c r="AH21" s="25" t="str">
        <x:v>condensing_or_supersaturated</x:v>
      </x:c>
      <x:c r="AI21" s="25" t="n">
        <x:v>1.0003479152287074</x:v>
      </x:c>
      <x:c r="AJ21" s="25" t="n">
        <x:v>0.0006161734076223297</x:v>
      </x:c>
      <x:c r="AK21" s="25" t="str">
        <x:v>condensing_or_supersaturated</x:v>
      </x:c>
      <x:c r="AL21" s="25" t="n">
        <x:v>0.5710726358708772</x:v>
      </x:c>
      <x:c r="AM21" s="25" t="n">
        <x:v>0</x:v>
      </x:c>
      <x:c r="AN21" s="25" t="str">
        <x:v>gas_phase_noncondensing</x:v>
      </x:c>
      <x:c r="AO21" s="25" t="str">
        <x:v>within_control_tolerance</x:v>
      </x:c>
      <x:c r="AP21" s="25" t="str">
        <x:v>not_acceptable_mixer_condensation</x:v>
      </x:c>
      <x:c r="AQ21" s="25" t="str"/>
      <x:c r="AR21" s="34" t="n">
        <x:f>MAX(0,AE21-1)*100</x:f>
        <x:v>5.453843025185279</x:v>
      </x:c>
      <x:c r="AS21" s="34" t="n">
        <x:f>AF21*1000000</x:f>
        <x:v>0.5370655400583286</x:v>
      </x:c>
      <x:c r="AT21" s="34" t="n">
        <x:f>AG21*1000000</x:f>
        <x:v>32.22393240349972</x:v>
      </x:c>
      <x:c r="AU21" s="34" t="n">
        <x:f>(Z21-Y21)*1000</x:f>
        <x:v>5.151152560056715e-7</x:v>
      </x:c>
    </x:row>
    <x:row r="22" ht="18" customHeight="1">
      <x:c r="A22" s="25" t="str">
        <x:v>总流量不变</x:v>
      </x:c>
      <x:c r="B22" s="25" t="str">
        <x:v>external240_total_flow_fixed_j0p4_R1p400</x:v>
      </x:c>
      <x:c r="C22" s="33" t="b">
        <x:v>1</x:v>
      </x:c>
      <x:c r="D22" s="33" t="b">
        <x:v>1</x:v>
      </x:c>
      <x:c r="E22" s="34" t="n">
        <x:v>0.4</x:v>
      </x:c>
      <x:c r="F22" s="34" t="n">
        <x:v>2.4</x:v>
      </x:c>
      <x:c r="G22" s="34" t="n">
        <x:v>1.4</x:v>
      </x:c>
      <x:c r="H22" s="34" t="n">
        <x:v>1.3999543779954127</x:v>
      </x:c>
      <x:c r="I22" s="34" t="n">
        <x:v>-0.000045622004587242415</x:v>
      </x:c>
      <x:c r="J22" s="34" t="n">
        <x:v>0.06999999999999999</x:v>
      </x:c>
      <x:c r="K22" s="34" t="n">
        <x:v>0.5833333333333334</x:v>
      </x:c>
      <x:c r="L22" s="34" t="n">
        <x:v>0.5833254126958181</x:v>
      </x:c>
      <x:c r="M22" s="34" t="n">
        <x:v>0.5933308703283288</x:v>
      </x:c>
      <x:c r="N22" s="34" t="n">
        <x:v>0.045693314316744615</x:v>
      </x:c>
      <x:c r="O22" s="34" t="n">
        <x:v>1.0799520226875166</x:v>
      </x:c>
      <x:c r="P22" s="34" t="n">
        <x:v>1.0799319848539777</x:v>
      </x:c>
      <x:c r="Q22" s="34" t="str">
        <x:v>risk_1_to_1p2</x:v>
      </x:c>
      <x:c r="R22" s="34" t="n">
        <x:v>0.7291136748341257</x:v>
      </x:c>
      <x:c r="S22" s="34" t="n">
        <x:v>0.8850480483538485</x:v>
      </x:c>
      <x:c r="T22" s="34" t="n">
        <x:v>0.0022919480175548975</x:v>
      </x:c>
      <x:c r="U22" s="34" t="n">
        <x:v>0.10132500000000003</x:v>
      </x:c>
      <x:c r="V22" s="34" t="n">
        <x:v>0.17852174728286835</x:v>
      </x:c>
      <x:c r="W22" s="34" t="n">
        <x:v>0.17833742337298678</x:v>
      </x:c>
      <x:c r="X22" s="34" t="n">
        <x:v>0.17833742337298683</x:v>
      </x:c>
      <x:c r="Y22" s="34" t="n">
        <x:v>0.171325</x:v>
      </x:c>
      <x:c r="Z22" s="34" t="n">
        <x:v>0.17132500102270665</x:v>
      </x:c>
      <x:c r="AA22" s="25" t="n">
        <x:v>1.0093047022218777</x:v>
      </x:c>
      <x:c r="AB22" s="25" t="n">
        <x:v>8798.639154159073</x:v>
      </x:c>
      <x:c r="AC22" s="25" t="n">
        <x:v>56.15620209797527</x:v>
      </x:c>
      <x:c r="AD22" s="25" t="n">
        <x:v>0.49051741676233007</x:v>
      </x:c>
      <x:c r="AE22" s="25" t="n">
        <x:v>0.9769114407922835</x:v>
      </x:c>
      <x:c r="AF22" s="25" t="n">
        <x:v>0</x:v>
      </x:c>
      <x:c r="AG22" s="25" t="n">
        <x:v>0</x:v>
      </x:c>
      <x:c r="AH22" s="25" t="str">
        <x:v>near_saturation_risk</x:v>
      </x:c>
      <x:c r="AI22" s="25" t="n">
        <x:v>1.0004183074039834</x:v>
      </x:c>
      <x:c r="AJ22" s="25" t="n">
        <x:v>0.0006251753557021257</x:v>
      </x:c>
      <x:c r="AK22" s="25" t="str">
        <x:v>condensing_or_supersaturated</x:v>
      </x:c>
      <x:c r="AL22" s="25" t="n">
        <x:v>0.5706593754334098</x:v>
      </x:c>
      <x:c r="AM22" s="25" t="n">
        <x:v>0</x:v>
      </x:c>
      <x:c r="AN22" s="25" t="str">
        <x:v>gas_phase_noncondensing</x:v>
      </x:c>
      <x:c r="AO22" s="25" t="str">
        <x:v>within_control_tolerance</x:v>
      </x:c>
      <x:c r="AP22" s="25" t="str">
        <x:v>risk_review_required</x:v>
      </x:c>
      <x:c r="AQ22" s="25" t="str"/>
      <x:c r="AR22" s="34" t="n">
        <x:f>MAX(0,AE22-1)*100</x:f>
        <x:v>0</x:v>
      </x:c>
      <x:c r="AS22" s="34" t="n">
        <x:f>AF22*1000000</x:f>
        <x:v>0</x:v>
      </x:c>
      <x:c r="AT22" s="34" t="n">
        <x:f>AG22*1000000</x:f>
        <x:v>0</x:v>
      </x:c>
      <x:c r="AU22" s="34" t="n">
        <x:f>(Z22-Y22)*1000</x:f>
        <x:v>0.0000010227066415957609</x:v>
      </x:c>
    </x:row>
    <x:row r="23" ht="18" customHeight="1">
      <x:c r="A23" s="25" t="str">
        <x:v>总流量不变</x:v>
      </x:c>
      <x:c r="B23" s="25" t="str">
        <x:v>external240_total_flow_fixed_j1p0_R0p000</x:v>
      </x:c>
      <x:c r="C23" s="33" t="b">
        <x:v>1</x:v>
      </x:c>
      <x:c r="D23" s="33" t="b">
        <x:v>1</x:v>
      </x:c>
      <x:c r="E23" s="34" t="n">
        <x:v>1</x:v>
      </x:c>
      <x:c r="F23" s="34" t="n">
        <x:v>1.8</x:v>
      </x:c>
      <x:c r="G23" s="34" t="n">
        <x:v>0</x:v>
      </x:c>
      <x:c r="H23" s="34" t="n">
        <x:v>0</x:v>
      </x:c>
      <x:c r="I23" s="34" t="n">
        <x:v>0</x:v>
      </x:c>
      <x:c r="J23" s="34" t="n">
        <x:v>0.005</x:v>
      </x:c>
      <x:c r="K23" s="34" t="n">
        <x:v>0</x:v>
      </x:c>
      <x:c r="L23" s="34" t="n">
        <x:v>0</x:v>
      </x:c>
      <x:c r="M23" s="34" t="n">
        <x:v>0</x:v>
      </x:c>
      <x:c r="N23" s="34" t="n">
        <x:v>0</x:v>
      </x:c>
      <x:c r="O23" s="34" t="n">
        <x:v>1.798936215559047</x:v>
      </x:c>
      <x:c r="P23" s="34" t="n">
        <x:v>1.7989362155590336</x:v>
      </x:c>
      <x:c r="Q23" s="34" t="str">
        <x:v>feasible_above_1p2</x:v>
      </x:c>
      <x:c r="R23" s="34" t="n">
        <x:v>0.7090733531220862</x:v>
      </x:c>
      <x:c r="S23" s="34" t="n">
        <x:v>9.999999999999998e-8</x:v>
      </x:c>
      <x:c r="T23" s="34" t="n">
        <x:v>0</x:v>
      </x:c>
      <x:c r="U23" s="34" t="n">
        <x:v>0.10132500000000001</x:v>
      </x:c>
      <x:c r="V23" s="34" t="n">
        <x:v>0.24720534484139572</x:v>
      </x:c>
      <x:c r="W23" s="34" t="n">
        <x:v>0.2465573373283187</x:v>
      </x:c>
      <x:c r="X23" s="34" t="n">
        <x:v>0.24655733732831872</x:v>
      </x:c>
      <x:c r="Y23" s="34" t="n">
        <x:v>0.231325</x:v>
      </x:c>
      <x:c r="Z23" s="34" t="n">
        <x:v>0.231325</x:v>
      </x:c>
      <x:c r="AA23" s="25" t="n">
        <x:v>0.07234698050021676</x:v>
      </x:c>
      <x:c r="AB23" s="25" t="n">
        <x:v>21278.249999999996</x:v>
      </x:c>
      <x:c r="AC23" s="25" t="n">
        <x:v>19.627693727286214</x:v>
      </x:c>
      <x:c r="AD23" s="25" t="n">
        <x:v>10.356732575436357</x:v>
      </x:c>
      <x:c r="AE23" s="25" t="n">
        <x:v>0.5116810031542075</x:v>
      </x:c>
      <x:c r="AF23" s="25" t="n">
        <x:v>0</x:v>
      </x:c>
      <x:c r="AG23" s="25" t="n">
        <x:v>0</x:v>
      </x:c>
      <x:c r="AH23" s="25" t="str">
        <x:v>gas_phase_noncondensing</x:v>
      </x:c>
      <x:c r="AI23" s="25" t="n">
        <x:v>1.0000399003636145</x:v>
      </x:c>
      <x:c r="AJ23" s="25" t="n">
        <x:v>0.00047390176389457204</x:v>
      </x:c>
      <x:c r="AK23" s="25" t="str">
        <x:v>condensing_or_supersaturated</x:v>
      </x:c>
      <x:c r="AL23" s="25" t="n">
        <x:v>0.5016448019651035</x:v>
      </x:c>
      <x:c r="AM23" s="25" t="n">
        <x:v>0</x:v>
      </x:c>
      <x:c r="AN23" s="25" t="str">
        <x:v>gas_phase_noncondensing</x:v>
      </x:c>
      <x:c r="AO23" s="25" t="str">
        <x:v>not_applicable_zero_target</x:v>
      </x:c>
      <x:c r="AP23" s="25" t="str">
        <x:v>candidate_feasible_gas_phase_screen</x:v>
      </x:c>
      <x:c r="AQ23" s="25" t="str"/>
      <x:c r="AR23" s="34" t="n">
        <x:f>MAX(0,AE23-1)*100</x:f>
        <x:v>0</x:v>
      </x:c>
      <x:c r="AS23" s="34" t="n">
        <x:f>AF23*1000000</x:f>
        <x:v>0</x:v>
      </x:c>
      <x:c r="AT23" s="34" t="n">
        <x:f>AG23*1000000</x:f>
        <x:v>0</x:v>
      </x:c>
      <x:c r="AU23" s="34" t="n">
        <x:f>(Z23-Y23)*1000</x:f>
        <x:v>0</x:v>
      </x:c>
    </x:row>
    <x:row r="24" ht="18" customHeight="1">
      <x:c r="A24" s="25" t="str">
        <x:v>总流量不变</x:v>
      </x:c>
      <x:c r="B24" s="25" t="str">
        <x:v>external240_total_flow_fixed_j1p0_R0p080</x:v>
      </x:c>
      <x:c r="C24" s="33" t="b">
        <x:v>1</x:v>
      </x:c>
      <x:c r="D24" s="33" t="b">
        <x:v>1</x:v>
      </x:c>
      <x:c r="E24" s="34" t="n">
        <x:v>1</x:v>
      </x:c>
      <x:c r="F24" s="34" t="n">
        <x:v>1.8</x:v>
      </x:c>
      <x:c r="G24" s="34" t="n">
        <x:v>0.08000000000000002</x:v>
      </x:c>
      <x:c r="H24" s="34" t="n">
        <x:v>0.07998904787391808</x:v>
      </x:c>
      <x:c r="I24" s="34" t="n">
        <x:v>-0.00001095212608193119</x:v>
      </x:c>
      <x:c r="J24" s="34" t="n">
        <x:v>0.005</x:v>
      </x:c>
      <x:c r="K24" s="34" t="n">
        <x:v>0.07407407407407408</x:v>
      </x:c>
      <x:c r="L24" s="34" t="n">
        <x:v>0.07406468429598193</x:v>
      </x:c>
      <x:c r="M24" s="34" t="n">
        <x:v>0.07377191347006237</x:v>
      </x:c>
      <x:c r="N24" s="34" t="n">
        <x:v>0.01087812940835691</x:v>
      </x:c>
      <x:c r="O24" s="34" t="n">
        <x:v>1.7187199604151222</x:v>
      </x:c>
      <x:c r="P24" s="34" t="n">
        <x:v>1.7187153576936351</x:v>
      </x:c>
      <x:c r="Q24" s="34" t="str">
        <x:v>feasible_above_1p2</x:v>
      </x:c>
      <x:c r="R24" s="34" t="n">
        <x:v>0.7073429633779831</x:v>
      </x:c>
      <x:c r="S24" s="34" t="n">
        <x:v>0.16146632665354302</x:v>
      </x:c>
      <x:c r="T24" s="34" t="n">
        <x:v>0.005641612566027816</x:v>
      </x:c>
      <x:c r="U24" s="34" t="n">
        <x:v>0.10132500000000001</x:v>
      </x:c>
      <x:c r="V24" s="34" t="n">
        <x:v>0.24718711679215372</x:v>
      </x:c>
      <x:c r="W24" s="34" t="n">
        <x:v>0.24653910930683187</x:v>
      </x:c>
      <x:c r="X24" s="34" t="n">
        <x:v>0.24653910930683196</x:v>
      </x:c>
      <x:c r="Y24" s="34" t="n">
        <x:v>0.231325</x:v>
      </x:c>
      <x:c r="Z24" s="34" t="n">
        <x:v>0.23132500239878054</x:v>
      </x:c>
      <x:c r="AA24" s="25" t="n">
        <x:v>0.17929905486939327</x:v>
      </x:c>
      <x:c r="AB24" s="25" t="n">
        <x:v>20178.125996682746</x:v>
      </x:c>
      <x:c r="AC24" s="25" t="n">
        <x:v>24.718366645576452</x:v>
      </x:c>
      <x:c r="AD24" s="25" t="n">
        <x:v>1.206582533401054</x:v>
      </x:c>
      <x:c r="AE24" s="25" t="n">
        <x:v>0.9301459260198052</x:v>
      </x:c>
      <x:c r="AF24" s="25" t="n">
        <x:v>0</x:v>
      </x:c>
      <x:c r="AG24" s="25" t="n">
        <x:v>0</x:v>
      </x:c>
      <x:c r="AH24" s="25" t="str">
        <x:v>near_saturation_risk</x:v>
      </x:c>
      <x:c r="AI24" s="25" t="n">
        <x:v>1.0002670930049151</x:v>
      </x:c>
      <x:c r="AJ24" s="25" t="n">
        <x:v>0.0006096795114689048</x:v>
      </x:c>
      <x:c r="AK24" s="25" t="str">
        <x:v>condensing_or_supersaturated</x:v>
      </x:c>
      <x:c r="AL24" s="25" t="n">
        <x:v>0.4479133877900925</x:v>
      </x:c>
      <x:c r="AM24" s="25" t="n">
        <x:v>0</x:v>
      </x:c>
      <x:c r="AN24" s="25" t="str">
        <x:v>gas_phase_noncondensing</x:v>
      </x:c>
      <x:c r="AO24" s="25" t="str">
        <x:v>within_control_tolerance</x:v>
      </x:c>
      <x:c r="AP24" s="25" t="str">
        <x:v>risk_review_required</x:v>
      </x:c>
      <x:c r="AQ24" s="25" t="str"/>
      <x:c r="AR24" s="34" t="n">
        <x:f>MAX(0,AE24-1)*100</x:f>
        <x:v>0</x:v>
      </x:c>
      <x:c r="AS24" s="34" t="n">
        <x:f>AF24*1000000</x:f>
        <x:v>0</x:v>
      </x:c>
      <x:c r="AT24" s="34" t="n">
        <x:f>AG24*1000000</x:f>
        <x:v>0</x:v>
      </x:c>
      <x:c r="AU24" s="34" t="n">
        <x:f>(Z24-Y24)*1000</x:f>
        <x:v>0.000002398780535317613</x:v>
      </x:c>
    </x:row>
    <x:row r="25" ht="18" customHeight="1">
      <x:c r="A25" s="25" t="str">
        <x:v>总流量不变</x:v>
      </x:c>
      <x:c r="B25" s="25" t="str">
        <x:v>external240_total_flow_fixed_j1p0_R0p200</x:v>
      </x:c>
      <x:c r="C25" s="33" t="b">
        <x:v>1</x:v>
      </x:c>
      <x:c r="D25" s="33" t="b">
        <x:v>1</x:v>
      </x:c>
      <x:c r="E25" s="34" t="n">
        <x:v>1</x:v>
      </x:c>
      <x:c r="F25" s="34" t="n">
        <x:v>1.8</x:v>
      </x:c>
      <x:c r="G25" s="34" t="n">
        <x:v>0.2</x:v>
      </x:c>
      <x:c r="H25" s="34" t="n">
        <x:v>0.1999712627627145</x:v>
      </x:c>
      <x:c r="I25" s="34" t="n">
        <x:v>-0.000028737237285497708</x:v>
      </x:c>
      <x:c r="J25" s="34" t="n">
        <x:v>0.010000000000000002</x:v>
      </x:c>
      <x:c r="K25" s="34" t="n">
        <x:v>0.16666666666666669</x:v>
      </x:c>
      <x:c r="L25" s="34" t="n">
        <x:v>0.16664670977388005</x:v>
      </x:c>
      <x:c r="M25" s="34" t="n">
        <x:v>0.1662041979361584</x:v>
      </x:c>
      <x:c r="N25" s="34" t="n">
        <x:v>0.024475962347254902</x:v>
      </x:c>
      <x:c r="O25" s="34" t="n">
        <x:v>1.598654873971322</x:v>
      </x:c>
      <x:c r="P25" s="34" t="n">
        <x:v>1.5986427031938577</x:v>
      </x:c>
      <x:c r="Q25" s="34" t="str">
        <x:v>feasible_above_1p2</x:v>
      </x:c>
      <x:c r="R25" s="34" t="n">
        <x:v>0.70468841698395</x:v>
      </x:c>
      <x:c r="S25" s="34" t="n">
        <x:v>0.3615148364209667</x:v>
      </x:c>
      <x:c r="T25" s="34" t="n">
        <x:v>0.005259160156565661</x:v>
      </x:c>
      <x:c r="U25" s="34" t="n">
        <x:v>0.10132500000000003</x:v>
      </x:c>
      <x:c r="V25" s="34" t="n">
        <x:v>0.2471614180678382</x:v>
      </x:c>
      <x:c r="W25" s="34" t="n">
        <x:v>0.24651341061848248</x:v>
      </x:c>
      <x:c r="X25" s="34" t="n">
        <x:v>0.24651341061848253</x:v>
      </x:c>
      <x:c r="Y25" s="34" t="n">
        <x:v>0.231325</x:v>
      </x:c>
      <x:c r="Z25" s="34" t="n">
        <x:v>0.23132500623349964</x:v>
      </x:c>
      <x:c r="AA25" s="25" t="n">
        <x:v>0.3344351106362413</x:v>
      </x:c>
      <x:c r="AB25" s="25" t="n">
        <x:v>18563.83237766165</x:v>
      </x:c>
      <x:c r="AC25" s="25" t="n">
        <x:v>31.559769847048017</x:v>
      </x:c>
      <x:c r="AD25" s="25" t="n">
        <x:v>-2.721792198035118</x:v>
      </x:c>
      <x:c r="AE25" s="25" t="n">
        <x:v>1.165195722377476</x:v>
      </x:c>
      <x:c r="AF25" s="25" t="n">
        <x:v>5.569438152613128e-7</x:v>
      </x:c>
      <x:c r="AG25" s="25" t="n">
        <x:v>0.000033416628915678765</x:v>
      </x:c>
      <x:c r="AH25" s="25" t="str">
        <x:v>condensing_or_supersaturated</x:v>
      </x:c>
      <x:c r="AI25" s="25" t="n">
        <x:v>1.0006397076040585</x:v>
      </x:c>
      <x:c r="AJ25" s="25" t="n">
        <x:v>0.0008013142076051846</x:v>
      </x:c>
      <x:c r="AK25" s="25" t="str">
        <x:v>condensing_or_supersaturated</x:v>
      </x:c>
      <x:c r="AL25" s="25" t="n">
        <x:v>0.43822557845950416</x:v>
      </x:c>
      <x:c r="AM25" s="25" t="n">
        <x:v>0</x:v>
      </x:c>
      <x:c r="AN25" s="25" t="str">
        <x:v>gas_phase_noncondensing</x:v>
      </x:c>
      <x:c r="AO25" s="25" t="str">
        <x:v>within_control_tolerance</x:v>
      </x:c>
      <x:c r="AP25" s="25" t="str">
        <x:v>not_acceptable_mixer_condensation</x:v>
      </x:c>
      <x:c r="AQ25" s="25" t="str"/>
      <x:c r="AR25" s="34" t="n">
        <x:f>MAX(0,AE25-1)*100</x:f>
        <x:v>16.519572237747603</x:v>
      </x:c>
      <x:c r="AS25" s="34" t="n">
        <x:f>AF25*1000000</x:f>
        <x:v>0.5569438152613128</x:v>
      </x:c>
      <x:c r="AT25" s="34" t="n">
        <x:f>AG25*1000000</x:f>
        <x:v>33.416628915678764</x:v>
      </x:c>
      <x:c r="AU25" s="34" t="n">
        <x:f>(Z25-Y25)*1000</x:f>
        <x:v>0.000006233499633134798</x:v>
      </x:c>
    </x:row>
    <x:row r="26" ht="18" customHeight="1">
      <x:c r="A26" s="25" t="str">
        <x:v>总流量不变</x:v>
      </x:c>
      <x:c r="B26" s="25" t="str">
        <x:v>external240_total_flow_fixed_j1p0_R0p400</x:v>
      </x:c>
      <x:c r="C26" s="33" t="b">
        <x:v>1</x:v>
      </x:c>
      <x:c r="D26" s="33" t="b">
        <x:v>1</x:v>
      </x:c>
      <x:c r="E26" s="34" t="n">
        <x:v>1</x:v>
      </x:c>
      <x:c r="F26" s="34" t="n">
        <x:v>1.8</x:v>
      </x:c>
      <x:c r="G26" s="34" t="n">
        <x:v>0.4</x:v>
      </x:c>
      <x:c r="H26" s="34" t="n">
        <x:v>0.39993326022200876</x:v>
      </x:c>
      <x:c r="I26" s="34" t="n">
        <x:v>-0.00006673977799126485</x:v>
      </x:c>
      <x:c r="J26" s="34" t="n">
        <x:v>0.020000000000000004</x:v>
      </x:c>
      <x:c r="K26" s="34" t="n">
        <x:v>0.28571428571428575</x:v>
      </x:c>
      <x:c r="L26" s="34" t="n">
        <x:v>0.2856802331835564</x:v>
      </x:c>
      <x:c r="M26" s="34" t="n">
        <x:v>0.28548177323166396</x:v>
      </x:c>
      <x:c r="N26" s="34" t="n">
        <x:v>0.041958814224419744</x:v>
      </x:c>
      <x:c r="O26" s="34" t="n">
        <x:v>1.3989120104473665</x:v>
      </x:c>
      <x:c r="P26" s="34" t="n">
        <x:v>1.3988836138541512</x:v>
      </x:c>
      <x:c r="Q26" s="34" t="str">
        <x:v>feasible_above_1p2</x:v>
      </x:c>
      <x:c r="R26" s="34" t="n">
        <x:v>0.6996380787892332</x:v>
      </x:c>
      <x:c r="S26" s="34" t="n">
        <x:v>0.6175176128295334</x:v>
      </x:c>
      <x:c r="T26" s="34" t="n">
        <x:v>0.004765149923295796</x:v>
      </x:c>
      <x:c r="U26" s="34" t="n">
        <x:v>0.10132500000000001</x:v>
      </x:c>
      <x:c r="V26" s="34" t="n">
        <x:v>0.24712245712693143</x:v>
      </x:c>
      <x:c r="W26" s="34" t="n">
        <x:v>0.24647444973211355</x:v>
      </x:c>
      <x:c r="X26" s="34" t="n">
        <x:v>0.2464744497321137</x:v>
      </x:c>
      <x:c r="Y26" s="34" t="n">
        <x:v>0.231325</x:v>
      </x:c>
      <x:c r="Z26" s="34" t="n">
        <x:v>0.23132501340926986</x:v>
      </x:c>
      <x:c r="AA26" s="25" t="n">
        <x:v>0.580613168647388</x:v>
      </x:c>
      <x:c r="AB26" s="25" t="n">
        <x:v>15959.06821248456</x:v>
      </x:c>
      <x:c r="AC26" s="25" t="n">
        <x:v>41.19006475015385</x:v>
      </x:c>
      <x:c r="AD26" s="25" t="n">
        <x:v>-3.397477549806297</x:v>
      </x:c>
      <x:c r="AE26" s="25" t="n">
        <x:v>1.1941517746453305</x:v>
      </x:c>
      <x:c r="AF26" s="25" t="n">
        <x:v>0.0000010866601708148652</x:v>
      </x:c>
      <x:c r="AG26" s="25" t="n">
        <x:v>0.00006519961024889192</x:v>
      </x:c>
      <x:c r="AH26" s="25" t="str">
        <x:v>condensing_or_supersaturated</x:v>
      </x:c>
      <x:c r="AI26" s="25" t="n">
        <x:v>1.000642412152777</x:v>
      </x:c>
      <x:c r="AJ26" s="25" t="n">
        <x:v>0.0010967650826913902</x:v>
      </x:c>
      <x:c r="AK26" s="25" t="str">
        <x:v>condensing_or_supersaturated</x:v>
      </x:c>
      <x:c r="AL26" s="25" t="n">
        <x:v>0.4286799253293727</x:v>
      </x:c>
      <x:c r="AM26" s="25" t="n">
        <x:v>0</x:v>
      </x:c>
      <x:c r="AN26" s="25" t="str">
        <x:v>gas_phase_noncondensing</x:v>
      </x:c>
      <x:c r="AO26" s="25" t="str">
        <x:v>within_control_tolerance</x:v>
      </x:c>
      <x:c r="AP26" s="25" t="str">
        <x:v>not_acceptable_mixer_condensation</x:v>
      </x:c>
      <x:c r="AQ26" s="25" t="str"/>
      <x:c r="AR26" s="34" t="n">
        <x:f>MAX(0,AE26-1)*100</x:f>
        <x:v>19.415177464533052</x:v>
      </x:c>
      <x:c r="AS26" s="34" t="n">
        <x:f>AF26*1000000</x:f>
        <x:v>1.0866601708148653</x:v>
      </x:c>
      <x:c r="AT26" s="34" t="n">
        <x:f>AG26*1000000</x:f>
        <x:v>65.19961024889191</x:v>
      </x:c>
      <x:c r="AU26" s="34" t="n">
        <x:f>(Z26-Y26)*1000</x:f>
        <x:v>0.000013409269861153206</x:v>
      </x:c>
    </x:row>
    <x:row r="27" ht="18" customHeight="1">
      <x:c r="A27" s="25" t="str">
        <x:v>总流量不变</x:v>
      </x:c>
      <x:c r="B27" s="25" t="str">
        <x:v>external240_total_flow_fixed_j1p0_R0p600</x:v>
      </x:c>
      <x:c r="C27" s="33" t="b">
        <x:v>1</x:v>
      </x:c>
      <x:c r="D27" s="33" t="b">
        <x:v>1</x:v>
      </x:c>
      <x:c r="E27" s="34" t="n">
        <x:v>1</x:v>
      </x:c>
      <x:c r="F27" s="34" t="n">
        <x:v>1.8</x:v>
      </x:c>
      <x:c r="G27" s="34" t="n">
        <x:v>0.6000000000000001</x:v>
      </x:c>
      <x:c r="H27" s="34" t="n">
        <x:v>0.5998763444310314</x:v>
      </x:c>
      <x:c r="I27" s="34" t="n">
        <x:v>-0.00012365556896865026</x:v>
      </x:c>
      <x:c r="J27" s="34" t="n">
        <x:v>0.030000000000000006</x:v>
      </x:c>
      <x:c r="K27" s="34" t="n">
        <x:v>0.37500000000000006</x:v>
      </x:c>
      <x:c r="L27" s="34" t="n">
        <x:v>0.3749516933094527</x:v>
      </x:c>
      <x:c r="M27" s="34" t="n">
        <x:v>0.3753707247268319</x:v>
      </x:c>
      <x:c r="N27" s="34" t="n">
        <x:v>0.055070410516867306</x:v>
      </x:c>
      <x:c r="O27" s="34" t="n">
        <x:v>1.1992141846326023</x:v>
      </x:c>
      <x:c r="P27" s="34" t="n">
        <x:v>1.1991617018875915</x:v>
      </x:c>
      <x:c r="Q27" s="34" t="str">
        <x:v>risk_1_to_1p2</x:v>
      </x:c>
      <x:c r="R27" s="34" t="n">
        <x:v>0.6926653100546699</x:v>
      </x:c>
      <x:c r="S27" s="34" t="n">
        <x:v>0.8106758019166939</x:v>
      </x:c>
      <x:c r="T27" s="34" t="n">
        <x:v>0.004387475753732632</x:v>
      </x:c>
      <x:c r="U27" s="34" t="n">
        <x:v>0.10132500000000001</x:v>
      </x:c>
      <x:c r="V27" s="34" t="n">
        <x:v>0.2470868312135168</x:v>
      </x:c>
      <x:c r="W27" s="34" t="n">
        <x:v>0.24643882387840133</x:v>
      </x:c>
      <x:c r="X27" s="34" t="n">
        <x:v>0.24643882387840138</x:v>
      </x:c>
      <x:c r="Y27" s="34" t="n">
        <x:v>0.231325</x:v>
      </x:c>
      <x:c r="Z27" s="34" t="n">
        <x:v>0.23132502383613585</x:v>
      </x:c>
      <x:c r="AA27" s="25" t="n">
        <x:v>0.8132871982164205</x:v>
      </x:c>
      <x:c r="AB27" s="25" t="n">
        <x:v>13448.5652474067</x:v>
      </x:c>
      <x:c r="AC27" s="25" t="n">
        <x:v>49.10400643670465</x:v>
      </x:c>
      <x:c r="AD27" s="25" t="n">
        <x:v>-2.180814629981228</x:v>
      </x:c>
      <x:c r="AE27" s="25" t="n">
        <x:v>1.1141615764180077</x:v>
      </x:c>
      <x:c r="AF27" s="25" t="n">
        <x:v>9.511089766540319e-7</x:v>
      </x:c>
      <x:c r="AG27" s="25" t="n">
        <x:v>0.00005706653859924191</x:v>
      </x:c>
      <x:c r="AH27" s="25" t="str">
        <x:v>condensing_or_supersaturated</x:v>
      </x:c>
      <x:c r="AI27" s="25" t="n">
        <x:v>1.0007201592547554</x:v>
      </x:c>
      <x:c r="AJ27" s="25" t="n">
        <x:v>0.0013671108472578504</x:v>
      </x:c>
      <x:c r="AK27" s="25" t="str">
        <x:v>condensing_or_supersaturated</x:v>
      </x:c>
      <x:c r="AL27" s="25" t="n">
        <x:v>0.42361248150511405</x:v>
      </x:c>
      <x:c r="AM27" s="25" t="n">
        <x:v>0</x:v>
      </x:c>
      <x:c r="AN27" s="25" t="str">
        <x:v>gas_phase_noncondensing</x:v>
      </x:c>
      <x:c r="AO27" s="25" t="str">
        <x:v>within_control_tolerance</x:v>
      </x:c>
      <x:c r="AP27" s="25" t="str">
        <x:v>not_acceptable_mixer_condensation</x:v>
      </x:c>
      <x:c r="AQ27" s="25" t="str"/>
      <x:c r="AR27" s="34" t="n">
        <x:f>MAX(0,AE27-1)*100</x:f>
        <x:v>11.416157641800773</x:v>
      </x:c>
      <x:c r="AS27" s="34" t="n">
        <x:f>AF27*1000000</x:f>
        <x:v>0.9511089766540318</x:v>
      </x:c>
      <x:c r="AT27" s="34" t="n">
        <x:f>AG27*1000000</x:f>
        <x:v>57.06653859924191</x:v>
      </x:c>
      <x:c r="AU27" s="34" t="n">
        <x:f>(Z27-Y27)*1000</x:f>
        <x:v>0.000023836135842891792</x:v>
      </x:c>
    </x:row>
    <x:row r="28" ht="18" customHeight="1">
      <x:c r="A28" s="25" t="str">
        <x:v>总流量不变</x:v>
      </x:c>
      <x:c r="B28" s="25" t="str">
        <x:v>external240_total_flow_fixed_j1p0_R0p800</x:v>
      </x:c>
      <x:c r="C28" s="33" t="b">
        <x:v>1</x:v>
      </x:c>
      <x:c r="D28" s="33" t="b">
        <x:v>1</x:v>
      </x:c>
      <x:c r="E28" s="34" t="n">
        <x:v>1</x:v>
      </x:c>
      <x:c r="F28" s="34" t="n">
        <x:v>1.8</x:v>
      </x:c>
      <x:c r="G28" s="34" t="n">
        <x:v>0.8</x:v>
      </x:c>
      <x:c r="H28" s="34" t="n">
        <x:v>0.799828812517594</x:v>
      </x:c>
      <x:c r="I28" s="34" t="n">
        <x:v>-0.00017118748240607662</x:v>
      </x:c>
      <x:c r="J28" s="34" t="n">
        <x:v>0.04000000000000001</x:v>
      </x:c>
      <x:c r="K28" s="34" t="n">
        <x:v>0.4444444444444445</x:v>
      </x:c>
      <x:c r="L28" s="34" t="n">
        <x:v>0.4443916037747924</x:v>
      </x:c>
      <x:c r="M28" s="34" t="n">
        <x:v>0.44547705424065054</x:v>
      </x:c>
      <x:c r="N28" s="34" t="n">
        <x:v>0.06526926910855267</x:v>
      </x:c>
      <x:c r="O28" s="34" t="n">
        <x:v>1.009718376924702</x:v>
      </x:c>
      <x:c r="P28" s="34" t="n">
        <x:v>1.0096602848025185</x:v>
      </x:c>
      <x:c r="Q28" s="34" t="str">
        <x:v>risk_1_to_1p2</x:v>
      </x:c>
      <x:c r="R28" s="34" t="n">
        <x:v>0.6685468225000836</x:v>
      </x:c>
      <x:c r="S28" s="34" t="n">
        <x:v>0.9621016669133241</x:v>
      </x:c>
      <x:c r="T28" s="34" t="n">
        <x:v>0.004081823011292705</x:v>
      </x:c>
      <x:c r="U28" s="34" t="n">
        <x:v>0.10132500000000001</x:v>
      </x:c>
      <x:c r="V28" s="34" t="n">
        <x:v>0.2470607317444888</x:v>
      </x:c>
      <x:c r="W28" s="34" t="n">
        <x:v>0.24641272467822867</x:v>
      </x:c>
      <x:c r="X28" s="34" t="n">
        <x:v>0.24641272467822875</x:v>
      </x:c>
      <x:c r="Y28" s="34" t="n">
        <x:v>0.231325</x:v>
      </x:c>
      <x:c r="Z28" s="34" t="n">
        <x:v>0.23132500670899211</x:v>
      </x:c>
      <x:c r="AA28" s="25" t="n">
        <x:v>0.9851092584544296</x:v>
      </x:c>
      <x:c r="AB28" s="25" t="n">
        <x:v>11117.878905255659</x:v>
      </x:c>
      <x:c r="AC28" s="25" t="n">
        <x:v>55.298305996615454</x:v>
      </x:c>
      <x:c r="AD28" s="25" t="n">
        <x:v>-0.48080667297024604</x:v>
      </x:c>
      <x:c r="AE28" s="25" t="n">
        <x:v>1.0232270785994553</x:v>
      </x:c>
      <x:c r="AF28" s="25" t="n">
        <x:v>2.612215038831074e-7</x:v>
      </x:c>
      <x:c r="AG28" s="25" t="n">
        <x:v>0.000015673290232986445</x:v>
      </x:c>
      <x:c r="AH28" s="25" t="str">
        <x:v>condensing_or_supersaturated</x:v>
      </x:c>
      <x:c r="AI28" s="25" t="n">
        <x:v>1.0008382306760681</x:v>
      </x:c>
      <x:c r="AJ28" s="25" t="n">
        <x:v>0.0015625757155997633</x:v>
      </x:c>
      <x:c r="AK28" s="25" t="str">
        <x:v>condensing_or_supersaturated</x:v>
      </x:c>
      <x:c r="AL28" s="25" t="n">
        <x:v>0.42079920403965926</x:v>
      </x:c>
      <x:c r="AM28" s="25" t="n">
        <x:v>0</x:v>
      </x:c>
      <x:c r="AN28" s="25" t="str">
        <x:v>gas_phase_noncondensing</x:v>
      </x:c>
      <x:c r="AO28" s="25" t="str">
        <x:v>within_control_tolerance</x:v>
      </x:c>
      <x:c r="AP28" s="25" t="str">
        <x:v>not_acceptable_mixer_condensation</x:v>
      </x:c>
      <x:c r="AQ28" s="25" t="str"/>
      <x:c r="AR28" s="34" t="n">
        <x:f>MAX(0,AE28-1)*100</x:f>
        <x:v>2.3227078599455275</x:v>
      </x:c>
      <x:c r="AS28" s="34" t="n">
        <x:f>AF28*1000000</x:f>
        <x:v>0.2612215038831074</x:v>
      </x:c>
      <x:c r="AT28" s="34" t="n">
        <x:f>AG28*1000000</x:f>
        <x:v>15.673290232986444</x:v>
      </x:c>
      <x:c r="AU28" s="34" t="n">
        <x:f>(Z28-Y28)*1000</x:f>
        <x:v>0.000006708992111859047</x:v>
      </x:c>
    </x:row>
    <x:row r="29" ht="18" customHeight="1">
      <x:c r="A29" s="25" t="str">
        <x:v>新鲜空气不变</x:v>
      </x:c>
      <x:c r="B29" s="25" t="str">
        <x:v>external240_fresh_air_fixed_j0p1_R0p000</x:v>
      </x:c>
      <x:c r="C29" s="33" t="b">
        <x:v>1</x:v>
      </x:c>
      <x:c r="D29" s="33" t="b">
        <x:v>1</x:v>
      </x:c>
      <x:c r="E29" s="34" t="n">
        <x:v>0.1</x:v>
      </x:c>
      <x:c r="F29" s="34" t="n">
        <x:v>5</x:v>
      </x:c>
      <x:c r="G29" s="34" t="n">
        <x:v>0</x:v>
      </x:c>
      <x:c r="H29" s="34" t="n">
        <x:v>0</x:v>
      </x:c>
      <x:c r="I29" s="34" t="n">
        <x:v>0</x:v>
      </x:c>
      <x:c r="J29" s="34" t="n">
        <x:v>0.005</x:v>
      </x:c>
      <x:c r="K29" s="34" t="n">
        <x:v>0</x:v>
      </x:c>
      <x:c r="L29" s="34" t="n">
        <x:v>0</x:v>
      </x:c>
      <x:c r="M29" s="34" t="n">
        <x:v>0</x:v>
      </x:c>
      <x:c r="N29" s="34" t="n">
        <x:v>0</x:v>
      </x:c>
      <x:c r="O29" s="34" t="n">
        <x:v>4.997045043216298</x:v>
      </x:c>
      <x:c r="P29" s="34" t="n">
        <x:v>4.997045043216289</x:v>
      </x:c>
      <x:c r="Q29" s="34" t="str">
        <x:v>feasible_above_1p2</x:v>
      </x:c>
      <x:c r="R29" s="34" t="n">
        <x:v>0.7991669060053129</x:v>
      </x:c>
      <x:c r="S29" s="34" t="n">
        <x:v>9.999999999999998e-8</x:v>
      </x:c>
      <x:c r="T29" s="34" t="n">
        <x:v>0</x:v>
      </x:c>
      <x:c r="U29" s="34" t="n">
        <x:v>0.10132500000000001</x:v>
      </x:c>
      <x:c r="V29" s="34" t="n">
        <x:v>0.14489779018385204</x:v>
      </x:c>
      <x:c r="W29" s="34" t="n">
        <x:v>0.14484778729710274</x:v>
      </x:c>
      <x:c r="X29" s="34" t="n">
        <x:v>0.14484778729710274</x:v>
      </x:c>
      <x:c r="Y29" s="34" t="n">
        <x:v>0.141325</x:v>
      </x:c>
      <x:c r="Z29" s="34" t="n">
        <x:v>0.14132500000000006</x:v>
      </x:c>
      <x:c r="AA29" s="25" t="n">
        <x:v>0.08343775189350729</x:v>
      </x:c>
      <x:c r="AB29" s="25" t="n">
        <x:v>21278.250000000004</x:v>
      </x:c>
      <x:c r="AC29" s="25" t="n">
        <x:v>19.971192082593404</x:v>
      </x:c>
      <x:c r="AD29" s="25" t="n">
        <x:v>10.700230930743544</x:v>
      </x:c>
      <x:c r="AE29" s="25" t="n">
        <x:v>0.5008930570164515</x:v>
      </x:c>
      <x:c r="AF29" s="25" t="n">
        <x:v>0</x:v>
      </x:c>
      <x:c r="AG29" s="25" t="n">
        <x:v>0</x:v>
      </x:c>
      <x:c r="AH29" s="25" t="str">
        <x:v>gas_phase_noncondensing</x:v>
      </x:c>
      <x:c r="AI29" s="25" t="n">
        <x:v>0.5193694064577968</x:v>
      </x:c>
      <x:c r="AJ29" s="25" t="n">
        <x:v>0</x:v>
      </x:c>
      <x:c r="AK29" s="25" t="str">
        <x:v>gas_phase_noncondensing</x:v>
      </x:c>
      <x:c r="AL29" s="25" t="n">
        <x:v>0.5001272020350577</x:v>
      </x:c>
      <x:c r="AM29" s="25" t="n">
        <x:v>0</x:v>
      </x:c>
      <x:c r="AN29" s="25" t="str">
        <x:v>gas_phase_noncondensing</x:v>
      </x:c>
      <x:c r="AO29" s="25" t="str">
        <x:v>not_applicable_zero_target</x:v>
      </x:c>
      <x:c r="AP29" s="25" t="str">
        <x:v>candidate_feasible_gas_phase_screen</x:v>
      </x:c>
      <x:c r="AQ29" s="25" t="str"/>
      <x:c r="AR29" s="34" t="n">
        <x:f>MAX(0,AE29-1)*100</x:f>
        <x:v>0</x:v>
      </x:c>
      <x:c r="AS29" s="34" t="n">
        <x:f>AF29*1000000</x:f>
        <x:v>0</x:v>
      </x:c>
      <x:c r="AT29" s="34" t="n">
        <x:f>AG29*1000000</x:f>
        <x:v>0</x:v>
      </x:c>
      <x:c r="AU29" s="34" t="n">
        <x:f>(Z29-Y29)*1000</x:f>
        <x:v>5.551115123125783e-14</x:v>
      </x:c>
    </x:row>
    <x:row r="30" ht="18" customHeight="1">
      <x:c r="A30" s="25" t="str">
        <x:v>新鲜空气不变</x:v>
      </x:c>
      <x:c r="B30" s="25" t="str">
        <x:v>external240_fresh_air_fixed_j0p1_R0p100</x:v>
      </x:c>
      <x:c r="C30" s="33" t="b">
        <x:v>1</x:v>
      </x:c>
      <x:c r="D30" s="33" t="b">
        <x:v>1</x:v>
      </x:c>
      <x:c r="E30" s="34" t="n">
        <x:v>0.1</x:v>
      </x:c>
      <x:c r="F30" s="34" t="n">
        <x:v>5</x:v>
      </x:c>
      <x:c r="G30" s="34" t="n">
        <x:v>0.1</x:v>
      </x:c>
      <x:c r="H30" s="34" t="n">
        <x:v>0.0999999947219792</x:v>
      </x:c>
      <x:c r="I30" s="34" t="n">
        <x:v>-5.2780208120717376e-9</x:v>
      </x:c>
      <x:c r="J30" s="34" t="n">
        <x:v>0.005000000000000001</x:v>
      </x:c>
      <x:c r="K30" s="34" t="n">
        <x:v>0.09090909090909091</x:v>
      </x:c>
      <x:c r="L30" s="34" t="n">
        <x:v>0.0909090865470902</x:v>
      </x:c>
      <x:c r="M30" s="34" t="n">
        <x:v>0.09198183287875057</x:v>
      </x:c>
      <x:c r="N30" s="34" t="n">
        <x:v>0.004079815565452908</x:v>
      </x:c>
      <x:c r="O30" s="34" t="n">
        <x:v>5.401943905532766</x:v>
      </x:c>
      <x:c r="P30" s="34" t="n">
        <x:v>5.401943867239881</x:v>
      </x:c>
      <x:c r="Q30" s="34" t="str">
        <x:v>feasible_above_1p2</x:v>
      </x:c>
      <x:c r="R30" s="34" t="n">
        <x:v>0.7991868757884332</x:v>
      </x:c>
      <x:c r="S30" s="34" t="n">
        <x:v>0.08595938129682026</x:v>
      </x:c>
      <x:c r="T30" s="34" t="n">
        <x:v>0.0025637809939809573</x:v>
      </x:c>
      <x:c r="U30" s="34" t="n">
        <x:v>0.10132500000000001</x:v>
      </x:c>
      <x:c r="V30" s="34" t="n">
        <x:v>0.14527791772902518</x:v>
      </x:c>
      <x:c r="W30" s="34" t="n">
        <x:v>0.14521741476162492</x:v>
      </x:c>
      <x:c r="X30" s="34" t="n">
        <x:v>0.14521741476162495</x:v>
      </x:c>
      <x:c r="Y30" s="34" t="n">
        <x:v>0.141325</x:v>
      </x:c>
      <x:c r="Z30" s="34" t="n">
        <x:v>0.14132499971144927</x:v>
      </x:c>
      <x:c r="AA30" s="25" t="n">
        <x:v>0.12483720174795647</x:v>
      </x:c>
      <x:c r="AB30" s="25" t="n">
        <x:v>20857.9926482403</x:v>
      </x:c>
      <x:c r="AC30" s="25" t="n">
        <x:v>23.745031954970045</x:v>
      </x:c>
      <x:c r="AD30" s="25" t="n">
        <x:v>8.373671389852355</x:v>
      </x:c>
      <x:c r="AE30" s="25" t="n">
        <x:v>0.5941920448833119</x:v>
      </x:c>
      <x:c r="AF30" s="25" t="n">
        <x:v>0</x:v>
      </x:c>
      <x:c r="AG30" s="25" t="n">
        <x:v>0</x:v>
      </x:c>
      <x:c r="AH30" s="25" t="str">
        <x:v>gas_phase_noncondensing</x:v>
      </x:c>
      <x:c r="AI30" s="25" t="n">
        <x:v>0.5203274808843467</x:v>
      </x:c>
      <x:c r="AJ30" s="25" t="n">
        <x:v>0</x:v>
      </x:c>
      <x:c r="AK30" s="25" t="str">
        <x:v>gas_phase_noncondensing</x:v>
      </x:c>
      <x:c r="AL30" s="25" t="n">
        <x:v>0.36582390967536366</x:v>
      </x:c>
      <x:c r="AM30" s="25" t="n">
        <x:v>0</x:v>
      </x:c>
      <x:c r="AN30" s="25" t="str">
        <x:v>gas_phase_noncondensing</x:v>
      </x:c>
      <x:c r="AO30" s="25" t="str">
        <x:v>within_control_tolerance</x:v>
      </x:c>
      <x:c r="AP30" s="25" t="str">
        <x:v>candidate_feasible_gas_phase_screen</x:v>
      </x:c>
      <x:c r="AQ30" s="25" t="str"/>
      <x:c r="AR30" s="34" t="n">
        <x:f>MAX(0,AE30-1)*100</x:f>
        <x:v>0</x:v>
      </x:c>
      <x:c r="AS30" s="34" t="n">
        <x:f>AF30*1000000</x:f>
        <x:v>0</x:v>
      </x:c>
      <x:c r="AT30" s="34" t="n">
        <x:f>AG30*1000000</x:f>
        <x:v>0</x:v>
      </x:c>
      <x:c r="AU30" s="34" t="n">
        <x:f>(Z30-Y30)*1000</x:f>
        <x:v>-2.885507388583619e-7</x:v>
      </x:c>
    </x:row>
    <x:row r="31" ht="18" customHeight="1">
      <x:c r="A31" s="25" t="str">
        <x:v>新鲜空气不变</x:v>
      </x:c>
      <x:c r="B31" s="25" t="str">
        <x:v>external240_fresh_air_fixed_j0p1_R0p500</x:v>
      </x:c>
      <x:c r="C31" s="33" t="b">
        <x:v>1</x:v>
      </x:c>
      <x:c r="D31" s="33" t="b">
        <x:v>1</x:v>
      </x:c>
      <x:c r="E31" s="34" t="n">
        <x:v>0.1</x:v>
      </x:c>
      <x:c r="F31" s="34" t="n">
        <x:v>5</x:v>
      </x:c>
      <x:c r="G31" s="34" t="n">
        <x:v>0.5</x:v>
      </x:c>
      <x:c r="H31" s="34" t="n">
        <x:v>0.4999957064592279</x:v>
      </x:c>
      <x:c r="I31" s="34" t="n">
        <x:v>-0.000004293540772082327</x:v>
      </x:c>
      <x:c r="J31" s="34" t="n">
        <x:v>0.025</x:v>
      </x:c>
      <x:c r="K31" s="34" t="n">
        <x:v>0.3333333333333333</x:v>
      </x:c>
      <x:c r="L31" s="34" t="n">
        <x:v>0.33333142508674085</x:v>
      </x:c>
      <x:c r="M31" s="34" t="n">
        <x:v>0.3362542152593662</x:v>
      </x:c>
      <x:c r="N31" s="34" t="n">
        <x:v>0.02039890172066451</x:v>
      </x:c>
      <x:c r="O31" s="34" t="n">
        <x:v>7.021951165426999</x:v>
      </x:c>
      <x:c r="P31" s="34" t="n">
        <x:v>7.021936872098258</x:v>
      </x:c>
      <x:c r="Q31" s="34" t="str">
        <x:v>feasible_above_1p2</x:v>
      </x:c>
      <x:c r="R31" s="34" t="n">
        <x:v>0.7992385551222361</x:v>
      </x:c>
      <x:c r="S31" s="34" t="n">
        <x:v>0.3977387759889878</x:v>
      </x:c>
      <x:c r="T31" s="34" t="n">
        <x:v>0.0025580043921543294</x:v>
      </x:c>
      <x:c r="U31" s="34" t="n">
        <x:v>0.10132500000000001</x:v>
      </x:c>
      <x:c r="V31" s="34" t="n">
        <x:v>0.146848716812867</x:v>
      </x:c>
      <x:c r="W31" s="34" t="n">
        <x:v>0.14673621410890578</x:v>
      </x:c>
      <x:c r="X31" s="34" t="n">
        <x:v>0.14673621410890583</x:v>
      </x:c>
      <x:c r="Y31" s="34" t="n">
        <x:v>0.141325</x:v>
      </x:c>
      <x:c r="Z31" s="34" t="n">
        <x:v>0.141325009965914</x:v>
      </x:c>
      <x:c r="AA31" s="25" t="n">
        <x:v>0.23471884736056553</x:v>
      </x:c>
      <x:c r="AB31" s="25" t="n">
        <x:v>19748.731580191477</x:v>
      </x:c>
      <x:c r="AC31" s="25" t="n">
        <x:v>33.67629119437197</x:v>
      </x:c>
      <x:c r="AD31" s="25" t="n">
        <x:v>8.180542835989243</x:v>
      </x:c>
      <x:c r="AE31" s="25" t="n">
        <x:v>0.6242607882912296</x:v>
      </x:c>
      <x:c r="AF31" s="25" t="n">
        <x:v>0</x:v>
      </x:c>
      <x:c r="AG31" s="25" t="n">
        <x:v>0</x:v>
      </x:c>
      <x:c r="AH31" s="25" t="str">
        <x:v>gas_phase_noncondensing</x:v>
      </x:c>
      <x:c r="AI31" s="25" t="n">
        <x:v>0.5235645213377639</x:v>
      </x:c>
      <x:c r="AJ31" s="25" t="n">
        <x:v>0</x:v>
      </x:c>
      <x:c r="AK31" s="25" t="str">
        <x:v>gas_phase_noncondensing</x:v>
      </x:c>
      <x:c r="AL31" s="25" t="n">
        <x:v>0.36362808075079145</x:v>
      </x:c>
      <x:c r="AM31" s="25" t="n">
        <x:v>0</x:v>
      </x:c>
      <x:c r="AN31" s="25" t="str">
        <x:v>gas_phase_noncondensing</x:v>
      </x:c>
      <x:c r="AO31" s="25" t="str">
        <x:v>within_control_tolerance</x:v>
      </x:c>
      <x:c r="AP31" s="25" t="str">
        <x:v>candidate_feasible_gas_phase_screen</x:v>
      </x:c>
      <x:c r="AQ31" s="25" t="str"/>
      <x:c r="AR31" s="34" t="n">
        <x:f>MAX(0,AE31-1)*100</x:f>
        <x:v>0</x:v>
      </x:c>
      <x:c r="AS31" s="34" t="n">
        <x:f>AF31*1000000</x:f>
        <x:v>0</x:v>
      </x:c>
      <x:c r="AT31" s="34" t="n">
        <x:f>AG31*1000000</x:f>
        <x:v>0</x:v>
      </x:c>
      <x:c r="AU31" s="34" t="n">
        <x:f>(Z31-Y31)*1000</x:f>
        <x:v>0.000009965913982945551</x:v>
      </x:c>
    </x:row>
    <x:row r="32" ht="18" customHeight="1">
      <x:c r="A32" s="25" t="str">
        <x:v>新鲜空气不变</x:v>
      </x:c>
      <x:c r="B32" s="25" t="str">
        <x:v>external240_fresh_air_fixed_j0p1_R1p000</x:v>
      </x:c>
      <x:c r="C32" s="33" t="b">
        <x:v>1</x:v>
      </x:c>
      <x:c r="D32" s="33" t="b">
        <x:v>1</x:v>
      </x:c>
      <x:c r="E32" s="34" t="n">
        <x:v>0.1</x:v>
      </x:c>
      <x:c r="F32" s="34" t="n">
        <x:v>5</x:v>
      </x:c>
      <x:c r="G32" s="34" t="n">
        <x:v>1</x:v>
      </x:c>
      <x:c r="H32" s="34" t="n">
        <x:v>0.9997103636231164</x:v>
      </x:c>
      <x:c r="I32" s="34" t="n">
        <x:v>-0.00028963637688361743</x:v>
      </x:c>
      <x:c r="J32" s="34" t="n">
        <x:v>0.05</x:v>
      </x:c>
      <x:c r="K32" s="34" t="n">
        <x:v>0.5</x:v>
      </x:c>
      <x:c r="L32" s="34" t="n">
        <x:v>0.4999275796922871</x:v>
      </x:c>
      <x:c r="M32" s="34" t="n">
        <x:v>0.5032676846423636</x:v>
      </x:c>
      <x:c r="N32" s="34" t="n">
        <x:v>0.040786152799134175</x:v>
      </x:c>
      <x:c r="O32" s="34" t="n">
        <x:v>9.046589516879953</x:v>
      </x:c>
      <x:c r="P32" s="34" t="n">
        <x:v>9.045963040194613</x:v>
      </x:c>
      <x:c r="Q32" s="34" t="str">
        <x:v>feasible_above_1p2</x:v>
      </x:c>
      <x:c r="R32" s="34" t="n">
        <x:v>0.7992612264877119</x:v>
      </x:c>
      <x:c r="S32" s="34" t="n">
        <x:v>0.7283768788644466</x:v>
      </x:c>
      <x:c r="T32" s="34" t="n">
        <x:v>0.002547537503803847</x:v>
      </x:c>
      <x:c r="U32" s="34" t="n">
        <x:v>0.10132500000000001</x:v>
      </x:c>
      <x:c r="V32" s="34" t="n">
        <x:v>0.14894701033668495</x:v>
      </x:c>
      <x:c r="W32" s="34" t="n">
        <x:v>0.1487470660598768</x:v>
      </x:c>
      <x:c r="X32" s="34" t="n">
        <x:v>0.1487470660598768</x:v>
      </x:c>
      <x:c r="Y32" s="34" t="n">
        <x:v>0.141325</x:v>
      </x:c>
      <x:c r="Z32" s="34" t="n">
        <x:v>0.14132544879983777</x:v>
      </x:c>
      <x:c r="AA32" s="25" t="n">
        <x:v>0.3102271368748331</x:v>
      </x:c>
      <x:c r="AB32" s="25" t="n">
        <x:v>18997.606767983892</x:v>
      </x:c>
      <x:c r="AC32" s="25" t="n">
        <x:v>40.4204813399046</x:v>
      </x:c>
      <x:c r="AD32" s="25" t="n">
        <x:v>10.260393750951216</x:v>
      </x:c>
      <x:c r="AE32" s="25" t="n">
        <x:v>0.5674906327539735</x:v>
      </x:c>
      <x:c r="AF32" s="25" t="n">
        <x:v>0</x:v>
      </x:c>
      <x:c r="AG32" s="25" t="n">
        <x:v>0</x:v>
      </x:c>
      <x:c r="AH32" s="25" t="str">
        <x:v>gas_phase_noncondensing</x:v>
      </x:c>
      <x:c r="AI32" s="25" t="n">
        <x:v>0.5267858420270733</x:v>
      </x:c>
      <x:c r="AJ32" s="25" t="n">
        <x:v>0</x:v>
      </x:c>
      <x:c r="AK32" s="25" t="str">
        <x:v>gas_phase_noncondensing</x:v>
      </x:c>
      <x:c r="AL32" s="25" t="n">
        <x:v>0.3607621880455847</x:v>
      </x:c>
      <x:c r="AM32" s="25" t="n">
        <x:v>0</x:v>
      </x:c>
      <x:c r="AN32" s="25" t="str">
        <x:v>gas_phase_noncondensing</x:v>
      </x:c>
      <x:c r="AO32" s="25" t="str">
        <x:v>within_control_tolerance</x:v>
      </x:c>
      <x:c r="AP32" s="25" t="str">
        <x:v>candidate_feasible_gas_phase_screen</x:v>
      </x:c>
      <x:c r="AQ32" s="25" t="str"/>
      <x:c r="AR32" s="34" t="n">
        <x:f>MAX(0,AE32-1)*100</x:f>
        <x:v>0</x:v>
      </x:c>
      <x:c r="AS32" s="34" t="n">
        <x:f>AF32*1000000</x:f>
        <x:v>0</x:v>
      </x:c>
      <x:c r="AT32" s="34" t="n">
        <x:f>AG32*1000000</x:f>
        <x:v>0</x:v>
      </x:c>
      <x:c r="AU32" s="34" t="n">
        <x:f>(Z32-Y32)*1000</x:f>
        <x:v>0.00044879983776557886</x:v>
      </x:c>
    </x:row>
    <x:row r="33" ht="18" customHeight="1">
      <x:c r="A33" s="25" t="str">
        <x:v>新鲜空气不变</x:v>
      </x:c>
      <x:c r="B33" s="25" t="str">
        <x:v>external240_fresh_air_fixed_j0p1_R2p000</x:v>
      </x:c>
      <x:c r="C33" s="33" t="b">
        <x:v>1</x:v>
      </x:c>
      <x:c r="D33" s="33" t="b">
        <x:v>0</x:v>
      </x:c>
      <x:c r="E33" s="34" t="n">
        <x:v>0.1</x:v>
      </x:c>
      <x:c r="F33" s="34" t="n">
        <x:v>5</x:v>
      </x:c>
      <x:c r="G33" s="34" t="n">
        <x:v>2</x:v>
      </x:c>
      <x:c r="H33" s="34" t="n">
        <x:v>1.4822781525972153</x:v>
      </x:c>
      <x:c r="I33" s="34" t="n">
        <x:v>-0.5177218474027847</x:v>
      </x:c>
      <x:c r="J33" s="34" t="n">
        <x:v>0.1</x:v>
      </x:c>
      <x:c r="K33" s="34" t="n">
        <x:v>0.6666666666666666</x:v>
      </x:c>
      <x:c r="L33" s="34" t="n">
        <x:v>0.597144260826009</x:v>
      </x:c>
      <x:c r="M33" s="34" t="n">
        <x:v>0.600399249856482</x:v>
      </x:c>
      <x:c r="N33" s="34" t="n">
        <x:v>0.06047421798970332</x:v>
      </x:c>
      <x:c r="O33" s="34" t="n">
        <x:v>11.002596444158327</x:v>
      </x:c>
      <x:c r="P33" s="34" t="n">
        <x:v>11.002596444158321</x:v>
      </x:c>
      <x:c r="Q33" s="34" t="str">
        <x:v>feasible_above_1p2</x:v>
      </x:c>
      <x:c r="R33" s="34" t="n">
        <x:v>0.7992558213102648</x:v>
      </x:c>
      <x:c r="S33" s="34" t="n">
        <x:v>1</x:v>
      </x:c>
      <x:c r="T33" s="34" t="n">
        <x:v>0.002534307949949478</x:v>
      </x:c>
      <x:c r="U33" s="34" t="n">
        <x:v>0.10132500000000001</x:v>
      </x:c>
      <x:c r="V33" s="34" t="n">
        <x:v>0.15114533385939694</x:v>
      </x:c>
      <x:c r="W33" s="34" t="n">
        <x:v>0.15083724373464394</x:v>
      </x:c>
      <x:c r="X33" s="34" t="n">
        <x:v>0.15083724373464397</x:v>
      </x:c>
      <x:c r="Y33" s="34" t="n">
        <x:v>0.141325</x:v>
      </x:c>
      <x:c r="Z33" s="34" t="n">
        <x:v>0.14132500000000006</x:v>
      </x:c>
      <x:c r="AA33" s="25" t="n">
        <x:v>0.35466980745630855</x:v>
      </x:c>
      <x:c r="AB33" s="25" t="n">
        <x:v>18565.537790190287</x:v>
      </x:c>
      <x:c r="AC33" s="25" t="n">
        <x:v>44.36609462842989</x:v>
      </x:c>
      <x:c r="AD33" s="25" t="n">
        <x:v>11.953579560003917</x:v>
      </x:c>
      <x:c r="AE33" s="25" t="n">
        <x:v>0.5245303524665923</x:v>
      </x:c>
      <x:c r="AF33" s="25" t="n">
        <x:v>0</x:v>
      </x:c>
      <x:c r="AG33" s="25" t="n">
        <x:v>0</x:v>
      </x:c>
      <x:c r="AH33" s="25" t="str">
        <x:v>gas_phase_noncondensing</x:v>
      </x:c>
      <x:c r="AI33" s="25" t="n">
        <x:v>0.5294267072171901</x:v>
      </x:c>
      <x:c r="AJ33" s="25" t="n">
        <x:v>0</x:v>
      </x:c>
      <x:c r="AK33" s="25" t="str">
        <x:v>gas_phase_noncondensing</x:v>
      </x:c>
      <x:c r="AL33" s="25" t="n">
        <x:v>0.35790403318168473</x:v>
      </x:c>
      <x:c r="AM33" s="25" t="n">
        <x:v>0</x:v>
      </x:c>
      <x:c r="AN33" s="25" t="str">
        <x:v>gas_phase_noncondensing</x:v>
      </x:c>
      <x:c r="AO33" s="25" t="str">
        <x:v>deviation_valve_area_saturated</x:v>
      </x:c>
      <x:c r="AP33" s="25" t="str">
        <x:v>requires_cegr_tracking_review</x:v>
      </x:c>
      <x:c r="AQ33" s="25" t="str"/>
      <x:c r="AR33" s="34" t="n">
        <x:f>MAX(0,AE33-1)*100</x:f>
        <x:v>0</x:v>
      </x:c>
      <x:c r="AS33" s="34" t="n">
        <x:f>AF33*1000000</x:f>
        <x:v>0</x:v>
      </x:c>
      <x:c r="AT33" s="34" t="n">
        <x:f>AG33*1000000</x:f>
        <x:v>0</x:v>
      </x:c>
      <x:c r="AU33" s="34" t="n">
        <x:f>(Z33-Y33)*1000</x:f>
        <x:v>5.551115123125783e-14</x:v>
      </x:c>
    </x:row>
    <x:row r="34" ht="18" customHeight="1">
      <x:c r="A34" s="25" t="str">
        <x:v>新鲜空气不变</x:v>
      </x:c>
      <x:c r="B34" s="25" t="str">
        <x:v>external240_fresh_air_fixed_j0p1_R4p000</x:v>
      </x:c>
      <x:c r="C34" s="33" t="b">
        <x:v>1</x:v>
      </x:c>
      <x:c r="D34" s="33" t="b">
        <x:v>0</x:v>
      </x:c>
      <x:c r="E34" s="34" t="n">
        <x:v>0.1</x:v>
      </x:c>
      <x:c r="F34" s="34" t="n">
        <x:v>5</x:v>
      </x:c>
      <x:c r="G34" s="34" t="n">
        <x:v>4</x:v>
      </x:c>
      <x:c r="H34" s="34" t="n">
        <x:v>1.4822809833206079</x:v>
      </x:c>
      <x:c r="I34" s="34" t="n">
        <x:v>-2.517719016679392</x:v>
      </x:c>
      <x:c r="J34" s="34" t="n">
        <x:v>0.2</x:v>
      </x:c>
      <x:c r="K34" s="34" t="n">
        <x:v>0.8</x:v>
      </x:c>
      <x:c r="L34" s="34" t="n">
        <x:v>0.5971447202313592</x:v>
      </x:c>
      <x:c r="M34" s="34" t="n">
        <x:v>0.6004001112548905</x:v>
      </x:c>
      <x:c r="N34" s="34" t="n">
        <x:v>0.060474333478003024</x:v>
      </x:c>
      <x:c r="O34" s="34" t="n">
        <x:v>11.002618006278086</x:v>
      </x:c>
      <x:c r="P34" s="34" t="n">
        <x:v>11.00261800627808</x:v>
      </x:c>
      <x:c r="Q34" s="34" t="str">
        <x:v>feasible_above_1p2</x:v>
      </x:c>
      <x:c r="R34" s="34" t="n">
        <x:v>0.7992571052047581</x:v>
      </x:c>
      <x:c r="S34" s="34" t="n">
        <x:v>1</x:v>
      </x:c>
      <x:c r="T34" s="34" t="n">
        <x:v>0.0025343008798545774</x:v>
      </x:c>
      <x:c r="U34" s="34" t="n">
        <x:v>0.10132500000000001</x:v>
      </x:c>
      <x:c r="V34" s="34" t="n">
        <x:v>0.1511453398455929</x:v>
      </x:c>
      <x:c r="W34" s="34" t="n">
        <x:v>0.15083724901816975</x:v>
      </x:c>
      <x:c r="X34" s="34" t="n">
        <x:v>0.15083724901816975</x:v>
      </x:c>
      <x:c r="Y34" s="34" t="n">
        <x:v>0.141325</x:v>
      </x:c>
      <x:c r="Z34" s="34" t="n">
        <x:v>0.14132500000000003</x:v>
      </x:c>
      <x:c r="AA34" s="25" t="n">
        <x:v>0.354692302501521</x:v>
      </x:c>
      <x:c r="AB34" s="25" t="n">
        <x:v>18564.714597409078</x:v>
      </x:c>
      <x:c r="AC34" s="25" t="n">
        <x:v>44.35179268380011</x:v>
      </x:c>
      <x:c r="AD34" s="25" t="n">
        <x:v>11.940617435242089</x:v>
      </x:c>
      <x:c r="AE34" s="25" t="n">
        <x:v>0.5248784851931556</x:v>
      </x:c>
      <x:c r="AF34" s="25" t="n">
        <x:v>0</x:v>
      </x:c>
      <x:c r="AG34" s="25" t="n">
        <x:v>0</x:v>
      </x:c>
      <x:c r="AH34" s="25" t="str">
        <x:v>gas_phase_noncondensing</x:v>
      </x:c>
      <x:c r="AI34" s="25" t="n">
        <x:v>0.5294549876570879</x:v>
      </x:c>
      <x:c r="AJ34" s="25" t="n">
        <x:v>0</x:v>
      </x:c>
      <x:c r="AK34" s="25" t="str">
        <x:v>gas_phase_noncondensing</x:v>
      </x:c>
      <x:c r="AL34" s="25" t="n">
        <x:v>0.3578983799221985</x:v>
      </x:c>
      <x:c r="AM34" s="25" t="n">
        <x:v>0</x:v>
      </x:c>
      <x:c r="AN34" s="25" t="str">
        <x:v>gas_phase_noncondensing</x:v>
      </x:c>
      <x:c r="AO34" s="25" t="str">
        <x:v>deviation_valve_area_saturated</x:v>
      </x:c>
      <x:c r="AP34" s="25" t="str">
        <x:v>requires_cegr_tracking_review</x:v>
      </x:c>
      <x:c r="AQ34" s="25" t="str"/>
      <x:c r="AR34" s="34" t="n">
        <x:f>MAX(0,AE34-1)*100</x:f>
        <x:v>0</x:v>
      </x:c>
      <x:c r="AS34" s="34" t="n">
        <x:f>AF34*1000000</x:f>
        <x:v>0</x:v>
      </x:c>
      <x:c r="AT34" s="34" t="n">
        <x:f>AG34*1000000</x:f>
        <x:v>0</x:v>
      </x:c>
      <x:c r="AU34" s="34" t="n">
        <x:f>(Z34-Y34)*1000</x:f>
        <x:v>2.7755575615628914e-14</x:v>
      </x:c>
    </x:row>
    <x:row r="35" ht="18" customHeight="1">
      <x:c r="A35" s="25" t="str">
        <x:v>新鲜空气不变</x:v>
      </x:c>
      <x:c r="B35" s="25" t="str">
        <x:v>external240_fresh_air_fixed_j0p1_R8p000</x:v>
      </x:c>
      <x:c r="C35" s="33" t="b">
        <x:v>1</x:v>
      </x:c>
      <x:c r="D35" s="33" t="b">
        <x:v>0</x:v>
      </x:c>
      <x:c r="E35" s="34" t="n">
        <x:v>0.1</x:v>
      </x:c>
      <x:c r="F35" s="34" t="n">
        <x:v>5</x:v>
      </x:c>
      <x:c r="G35" s="34" t="n">
        <x:v>8</x:v>
      </x:c>
      <x:c r="H35" s="34" t="n">
        <x:v>1.4822768535599755</x:v>
      </x:c>
      <x:c r="I35" s="34" t="n">
        <x:v>-6.517723146440025</x:v>
      </x:c>
      <x:c r="J35" s="34" t="n">
        <x:v>0.4</x:v>
      </x:c>
      <x:c r="K35" s="34" t="n">
        <x:v>0.8888888888888888</x:v>
      </x:c>
      <x:c r="L35" s="34" t="n">
        <x:v>0.5971440500015771</x:v>
      </x:c>
      <x:c r="M35" s="34" t="n">
        <x:v>0.6003988530748622</x:v>
      </x:c>
      <x:c r="N35" s="34" t="n">
        <x:v>0.06047416499137702</x:v>
      </x:c>
      <x:c r="O35" s="34" t="n">
        <x:v>11.002586512138736</x:v>
      </x:c>
      <x:c r="P35" s="34" t="n">
        <x:v>11.00258651213873</x:v>
      </x:c>
      <x:c r="Q35" s="34" t="str">
        <x:v>feasible_above_1p2</x:v>
      </x:c>
      <x:c r="R35" s="34" t="n">
        <x:v>0.7992552273147707</x:v>
      </x:c>
      <x:c r="S35" s="34" t="n">
        <x:v>1</x:v>
      </x:c>
      <x:c r="T35" s="34" t="n">
        <x:v>0.0025343112580067362</x:v>
      </x:c>
      <x:c r="U35" s="34" t="n">
        <x:v>0.10132500000000001</x:v>
      </x:c>
      <x:c r="V35" s="34" t="n">
        <x:v>0.1511453311397135</x:v>
      </x:c>
      <x:c r="W35" s="34" t="n">
        <x:v>0.15083724133742013</x:v>
      </x:c>
      <x:c r="X35" s="34" t="n">
        <x:v>0.15083724133742013</x:v>
      </x:c>
      <x:c r="Y35" s="34" t="n">
        <x:v>0.141325</x:v>
      </x:c>
      <x:c r="Z35" s="34" t="n">
        <x:v>0.14132500000000003</x:v>
      </x:c>
      <x:c r="AA35" s="25" t="n">
        <x:v>0.35465939948370767</x:v>
      </x:c>
      <x:c r="AB35" s="25" t="n">
        <x:v>18564.20285414086</x:v>
      </x:c>
      <x:c r="AC35" s="25" t="n">
        <x:v>44.346081086318804</x:v>
      </x:c>
      <x:c r="AD35" s="25" t="n">
        <x:v>11.934585268493834</x:v>
      </x:c>
      <x:c r="AE35" s="25" t="n">
        <x:v>0.5250429204958331</x:v>
      </x:c>
      <x:c r="AF35" s="25" t="n">
        <x:v>0</x:v>
      </x:c>
      <x:c r="AG35" s="25" t="n">
        <x:v>0</x:v>
      </x:c>
      <x:c r="AH35" s="25" t="str">
        <x:v>gas_phase_noncondensing</x:v>
      </x:c>
      <x:c r="AI35" s="25" t="n">
        <x:v>0.5294136215869588</x:v>
      </x:c>
      <x:c r="AJ35" s="25" t="n">
        <x:v>0</x:v>
      </x:c>
      <x:c r="AK35" s="25" t="str">
        <x:v>gas_phase_noncondensing</x:v>
      </x:c>
      <x:c r="AL35" s="25" t="n">
        <x:v>0.3578959194072666</x:v>
      </x:c>
      <x:c r="AM35" s="25" t="n">
        <x:v>0</x:v>
      </x:c>
      <x:c r="AN35" s="25" t="str">
        <x:v>gas_phase_noncondensing</x:v>
      </x:c>
      <x:c r="AO35" s="25" t="str">
        <x:v>deviation_valve_area_saturated</x:v>
      </x:c>
      <x:c r="AP35" s="25" t="str">
        <x:v>requires_cegr_tracking_review</x:v>
      </x:c>
      <x:c r="AQ35" s="25" t="str"/>
      <x:c r="AR35" s="34" t="n">
        <x:f>MAX(0,AE35-1)*100</x:f>
        <x:v>0</x:v>
      </x:c>
      <x:c r="AS35" s="34" t="n">
        <x:f>AF35*1000000</x:f>
        <x:v>0</x:v>
      </x:c>
      <x:c r="AT35" s="34" t="n">
        <x:f>AG35*1000000</x:f>
        <x:v>0</x:v>
      </x:c>
      <x:c r="AU35" s="34" t="n">
        <x:f>(Z35-Y35)*1000</x:f>
        <x:v>2.7755575615628914e-14</x:v>
      </x:c>
    </x:row>
    <x:row r="36" ht="18" customHeight="1">
      <x:c r="A36" s="25" t="str">
        <x:v>新鲜空气不变</x:v>
      </x:c>
      <x:c r="B36" s="25" t="str">
        <x:v>external240_fresh_air_fixed_j0p2_R0p000</x:v>
      </x:c>
      <x:c r="C36" s="33" t="b">
        <x:v>1</x:v>
      </x:c>
      <x:c r="D36" s="33" t="b">
        <x:v>1</x:v>
      </x:c>
      <x:c r="E36" s="34" t="n">
        <x:v>0.2</x:v>
      </x:c>
      <x:c r="F36" s="34" t="n">
        <x:v>3.6</x:v>
      </x:c>
      <x:c r="G36" s="34" t="n">
        <x:v>0</x:v>
      </x:c>
      <x:c r="H36" s="34" t="n">
        <x:v>0</x:v>
      </x:c>
      <x:c r="I36" s="34" t="n">
        <x:v>0</x:v>
      </x:c>
      <x:c r="J36" s="34" t="n">
        <x:v>0.005</x:v>
      </x:c>
      <x:c r="K36" s="34" t="n">
        <x:v>0</x:v>
      </x:c>
      <x:c r="L36" s="34" t="n">
        <x:v>0</x:v>
      </x:c>
      <x:c r="M36" s="34" t="n">
        <x:v>0</x:v>
      </x:c>
      <x:c r="N36" s="34" t="n">
        <x:v>0</x:v>
      </x:c>
      <x:c r="O36" s="34" t="n">
        <x:v>3.5978724311160852</x:v>
      </x:c>
      <x:c r="P36" s="34" t="n">
        <x:v>3.5978724311160755</x:v>
      </x:c>
      <x:c r="Q36" s="34" t="str">
        <x:v>feasible_above_1p2</x:v>
      </x:c>
      <x:c r="R36" s="34" t="n">
        <x:v>0.7806292192763329</x:v>
      </x:c>
      <x:c r="S36" s="34" t="n">
        <x:v>9.999999999999998e-8</x:v>
      </x:c>
      <x:c r="T36" s="34" t="n">
        <x:v>0</x:v>
      </x:c>
      <x:c r="U36" s="34" t="n">
        <x:v>0.10132500000000001</x:v>
      </x:c>
      <x:c r="V36" s="34" t="n">
        <x:v>0.16158922253318173</x:v>
      </x:c>
      <x:c r="W36" s="34" t="n">
        <x:v>0.16148553923111883</x:v>
      </x:c>
      <x:c r="X36" s="34" t="n">
        <x:v>0.16148553923111883</x:v>
      </x:c>
      <x:c r="Y36" s="34" t="n">
        <x:v>0.156325</x:v>
      </x:c>
      <x:c r="Z36" s="34" t="n">
        <x:v>0.156325</x:v>
      </x:c>
      <x:c r="AA36" s="25" t="n">
        <x:v>0.08468252791930704</x:v>
      </x:c>
      <x:c r="AB36" s="25" t="n">
        <x:v>21278.250000000004</x:v>
      </x:c>
      <x:c r="AC36" s="25" t="n">
        <x:v>19.940278734247784</x:v>
      </x:c>
      <x:c r="AD36" s="25" t="n">
        <x:v>10.669317582397923</x:v>
      </x:c>
      <x:c r="AE36" s="25" t="n">
        <x:v>0.5018533789529082</x:v>
      </x:c>
      <x:c r="AF36" s="25" t="n">
        <x:v>0</x:v>
      </x:c>
      <x:c r="AG36" s="25" t="n">
        <x:v>0</x:v>
      </x:c>
      <x:c r="AH36" s="25" t="str">
        <x:v>gas_phase_noncondensing</x:v>
      </x:c>
      <x:c r="AI36" s="25" t="n">
        <x:v>0.7143339746361638</x:v>
      </x:c>
      <x:c r="AJ36" s="25" t="n">
        <x:v>0</x:v>
      </x:c>
      <x:c r="AK36" s="25" t="str">
        <x:v>gas_phase_noncondensing</x:v>
      </x:c>
      <x:c r="AL36" s="25" t="n">
        <x:v>0.5002646428814059</x:v>
      </x:c>
      <x:c r="AM36" s="25" t="n">
        <x:v>0</x:v>
      </x:c>
      <x:c r="AN36" s="25" t="str">
        <x:v>gas_phase_noncondensing</x:v>
      </x:c>
      <x:c r="AO36" s="25" t="str">
        <x:v>not_applicable_zero_target</x:v>
      </x:c>
      <x:c r="AP36" s="25" t="str">
        <x:v>candidate_feasible_gas_phase_screen</x:v>
      </x:c>
      <x:c r="AQ36" s="25" t="str"/>
      <x:c r="AR36" s="34" t="n">
        <x:f>MAX(0,AE36-1)*100</x:f>
        <x:v>0</x:v>
      </x:c>
      <x:c r="AS36" s="34" t="n">
        <x:f>AF36*1000000</x:f>
        <x:v>0</x:v>
      </x:c>
      <x:c r="AT36" s="34" t="n">
        <x:f>AG36*1000000</x:f>
        <x:v>0</x:v>
      </x:c>
      <x:c r="AU36" s="34" t="n">
        <x:f>(Z36-Y36)*1000</x:f>
        <x:v>0</x:v>
      </x:c>
    </x:row>
    <x:row r="37" ht="18" customHeight="1">
      <x:c r="A37" s="25" t="str">
        <x:v>新鲜空气不变</x:v>
      </x:c>
      <x:c r="B37" s="25" t="str">
        <x:v>external240_fresh_air_fixed_j0p2_R0p100</x:v>
      </x:c>
      <x:c r="C37" s="33" t="b">
        <x:v>1</x:v>
      </x:c>
      <x:c r="D37" s="33" t="b">
        <x:v>1</x:v>
      </x:c>
      <x:c r="E37" s="34" t="n">
        <x:v>0.2</x:v>
      </x:c>
      <x:c r="F37" s="34" t="n">
        <x:v>3.6</x:v>
      </x:c>
      <x:c r="G37" s="34" t="n">
        <x:v>0.1</x:v>
      </x:c>
      <x:c r="H37" s="34" t="n">
        <x:v>0.09999992206261574</x:v>
      </x:c>
      <x:c r="I37" s="34" t="n">
        <x:v>-7.79373842685338e-8</x:v>
      </x:c>
      <x:c r="J37" s="34" t="n">
        <x:v>0.005000000000000001</x:v>
      </x:c>
      <x:c r="K37" s="34" t="n">
        <x:v>0.09090909090909091</x:v>
      </x:c>
      <x:c r="L37" s="34" t="n">
        <x:v>0.09090902649802404</x:v>
      </x:c>
      <x:c r="M37" s="34" t="n">
        <x:v>0.091947823499055</x:v>
      </x:c>
      <x:c r="N37" s="34" t="n">
        <x:v>0.005874930132890217</x:v>
      </x:c>
      <x:c r="O37" s="34" t="n">
        <x:v>3.8609285748313247</x:v>
      </x:c>
      <x:c r="P37" s="34" t="n">
        <x:v>3.860928362596683</x:v>
      </x:c>
      <x:c r="Q37" s="34" t="str">
        <x:v>feasible_above_1p2</x:v>
      </x:c>
      <x:c r="R37" s="34" t="n">
        <x:v>0.7806810490332684</x:v>
      </x:c>
      <x:c r="S37" s="34" t="n">
        <x:v>0.11135016584202245</x:v>
      </x:c>
      <x:c r="T37" s="34" t="n">
        <x:v>0.003181253612257482</x:v>
      </x:c>
      <x:c r="U37" s="34" t="n">
        <x:v>0.10132500000000003</x:v>
      </x:c>
      <x:c r="V37" s="34" t="n">
        <x:v>0.1621710932075216</x:v>
      </x:c>
      <x:c r="W37" s="34" t="n">
        <x:v>0.16204563695535293</x:v>
      </x:c>
      <x:c r="X37" s="34" t="n">
        <x:v>0.16204563695535296</x:v>
      </x:c>
      <x:c r="Y37" s="34" t="n">
        <x:v>0.156325</x:v>
      </x:c>
      <x:c r="Z37" s="34" t="n">
        <x:v>0.15632500027019558</x:v>
      </x:c>
      <x:c r="AA37" s="25" t="n">
        <x:v>0.145296350481908</x:v>
      </x:c>
      <x:c r="AB37" s="25" t="n">
        <x:v>20681.88293886925</x:v>
      </x:c>
      <x:c r="AC37" s="25" t="n">
        <x:v>23.94235920043775</x:v>
      </x:c>
      <x:c r="AD37" s="25" t="n">
        <x:v>6.425224118070325</x:v>
      </x:c>
      <x:c r="AE37" s="25" t="n">
        <x:v>0.673144827103636</x:v>
      </x:c>
      <x:c r="AF37" s="25" t="n">
        <x:v>0</x:v>
      </x:c>
      <x:c r="AG37" s="25" t="n">
        <x:v>0</x:v>
      </x:c>
      <x:c r="AH37" s="25" t="str">
        <x:v>gas_phase_noncondensing</x:v>
      </x:c>
      <x:c r="AI37" s="25" t="n">
        <x:v>0.7158912487436689</x:v>
      </x:c>
      <x:c r="AJ37" s="25" t="n">
        <x:v>0</x:v>
      </x:c>
      <x:c r="AK37" s="25" t="str">
        <x:v>gas_phase_noncondensing</x:v>
      </x:c>
      <x:c r="AL37" s="25" t="n">
        <x:v>0.45471212917318105</x:v>
      </x:c>
      <x:c r="AM37" s="25" t="n">
        <x:v>0</x:v>
      </x:c>
      <x:c r="AN37" s="25" t="str">
        <x:v>gas_phase_noncondensing</x:v>
      </x:c>
      <x:c r="AO37" s="25" t="str">
        <x:v>within_control_tolerance</x:v>
      </x:c>
      <x:c r="AP37" s="25" t="str">
        <x:v>candidate_feasible_gas_phase_screen</x:v>
      </x:c>
      <x:c r="AQ37" s="25" t="str"/>
      <x:c r="AR37" s="34" t="n">
        <x:f>MAX(0,AE37-1)*100</x:f>
        <x:v>0</x:v>
      </x:c>
      <x:c r="AS37" s="34" t="n">
        <x:f>AF37*1000000</x:f>
        <x:v>0</x:v>
      </x:c>
      <x:c r="AT37" s="34" t="n">
        <x:f>AG37*1000000</x:f>
        <x:v>0</x:v>
      </x:c>
      <x:c r="AU37" s="34" t="n">
        <x:f>(Z37-Y37)*1000</x:f>
        <x:v>2.701955881256879e-7</x:v>
      </x:c>
    </x:row>
    <x:row r="38" ht="18" customHeight="1">
      <x:c r="A38" s="25" t="str">
        <x:v>新鲜空气不变</x:v>
      </x:c>
      <x:c r="B38" s="25" t="str">
        <x:v>external240_fresh_air_fixed_j0p2_R0p500</x:v>
      </x:c>
      <x:c r="C38" s="33" t="b">
        <x:v>1</x:v>
      </x:c>
      <x:c r="D38" s="33" t="b">
        <x:v>1</x:v>
      </x:c>
      <x:c r="E38" s="34" t="n">
        <x:v>0.2</x:v>
      </x:c>
      <x:c r="F38" s="34" t="n">
        <x:v>3.6</x:v>
      </x:c>
      <x:c r="G38" s="34" t="n">
        <x:v>0.5</x:v>
      </x:c>
      <x:c r="H38" s="34" t="n">
        <x:v>0.4999675322510712</x:v>
      </x:c>
      <x:c r="I38" s="34" t="n">
        <x:v>-0.00003246774892878834</x:v>
      </x:c>
      <x:c r="J38" s="34" t="n">
        <x:v>0.025</x:v>
      </x:c>
      <x:c r="K38" s="34" t="n">
        <x:v>0.3333333333333333</x:v>
      </x:c>
      <x:c r="L38" s="34" t="n">
        <x:v>0.333318902879628</x:v>
      </x:c>
      <x:c r="M38" s="34" t="n">
        <x:v>0.3361833783732393</x:v>
      </x:c>
      <x:c r="N38" s="34" t="n">
        <x:v>0.029372747483425624</x:v>
      </x:c>
      <x:c r="O38" s="34" t="n">
        <x:v>4.91353793422222</x:v>
      </x:c>
      <x:c r="P38" s="34" t="n">
        <x:v>4.913481877251574</x:v>
      </x:c>
      <x:c r="Q38" s="34" t="str">
        <x:v>feasible_above_1p2</x:v>
      </x:c>
      <x:c r="R38" s="34" t="n">
        <x:v>0.7808284162816529</x:v>
      </x:c>
      <x:c r="S38" s="34" t="n">
        <x:v>0.5046273461088325</x:v>
      </x:c>
      <x:c r="T38" s="34" t="n">
        <x:v>0.0031715789289611146</x:v>
      </x:c>
      <x:c r="U38" s="34" t="n">
        <x:v>0.10132500000000001</x:v>
      </x:c>
      <x:c r="V38" s="34" t="n">
        <x:v>0.1646347964182693</x:v>
      </x:c>
      <x:c r="W38" s="34" t="n">
        <x:v>0.16440152250904522</x:v>
      </x:c>
      <x:c r="X38" s="34" t="n">
        <x:v>0.16440152250904522</x:v>
      </x:c>
      <x:c r="Y38" s="34" t="n">
        <x:v>0.156325</x:v>
      </x:c>
      <x:c r="Z38" s="34" t="n">
        <x:v>0.15632507011308083</x:v>
      </x:c>
      <x:c r="AA38" s="25" t="n">
        <x:v>0.30551558729204253</x:v>
      </x:c>
      <x:c r="AB38" s="25" t="n">
        <x:v>19115.717430593413</x:v>
      </x:c>
      <x:c r="AC38" s="25" t="n">
        <x:v>34.43631450265565</x:v>
      </x:c>
      <x:c r="AD38" s="25" t="n">
        <x:v>4.710695955534796</x:v>
      </x:c>
      <x:c r="AE38" s="25" t="n">
        <x:v>0.7662223873735027</x:v>
      </x:c>
      <x:c r="AF38" s="25" t="n">
        <x:v>0</x:v>
      </x:c>
      <x:c r="AG38" s="25" t="n">
        <x:v>0</x:v>
      </x:c>
      <x:c r="AH38" s="25" t="str">
        <x:v>gas_phase_noncondensing</x:v>
      </x:c>
      <x:c r="AI38" s="25" t="n">
        <x:v>0.7211623965643921</x:v>
      </x:c>
      <x:c r="AJ38" s="25" t="n">
        <x:v>0</x:v>
      </x:c>
      <x:c r="AK38" s="25" t="str">
        <x:v>gas_phase_noncondensing</x:v>
      </x:c>
      <x:c r="AL38" s="25" t="n">
        <x:v>0.44979616991083465</x:v>
      </x:c>
      <x:c r="AM38" s="25" t="n">
        <x:v>0</x:v>
      </x:c>
      <x:c r="AN38" s="25" t="str">
        <x:v>gas_phase_noncondensing</x:v>
      </x:c>
      <x:c r="AO38" s="25" t="str">
        <x:v>within_control_tolerance</x:v>
      </x:c>
      <x:c r="AP38" s="25" t="str">
        <x:v>candidate_feasible_gas_phase_screen</x:v>
      </x:c>
      <x:c r="AQ38" s="25" t="str"/>
      <x:c r="AR38" s="34" t="n">
        <x:f>MAX(0,AE38-1)*100</x:f>
        <x:v>0</x:v>
      </x:c>
      <x:c r="AS38" s="34" t="n">
        <x:f>AF38*1000000</x:f>
        <x:v>0</x:v>
      </x:c>
      <x:c r="AT38" s="34" t="n">
        <x:f>AG38*1000000</x:f>
        <x:v>0</x:v>
      </x:c>
      <x:c r="AU38" s="34" t="n">
        <x:f>(Z38-Y38)*1000</x:f>
        <x:v>0.00007011308084114987</x:v>
      </x:c>
    </x:row>
    <x:row r="39" ht="18" customHeight="1">
      <x:c r="A39" s="25" t="str">
        <x:v>新鲜空气不变</x:v>
      </x:c>
      <x:c r="B39" s="25" t="str">
        <x:v>external240_fresh_air_fixed_j0p2_R1p000</x:v>
      </x:c>
      <x:c r="C39" s="33" t="b">
        <x:v>1</x:v>
      </x:c>
      <x:c r="D39" s="33" t="b">
        <x:v>1</x:v>
      </x:c>
      <x:c r="E39" s="34" t="n">
        <x:v>0.2</x:v>
      </x:c>
      <x:c r="F39" s="34" t="n">
        <x:v>3.6</x:v>
      </x:c>
      <x:c r="G39" s="34" t="n">
        <x:v>1</x:v>
      </x:c>
      <x:c r="H39" s="34" t="n">
        <x:v>0.9990104473459338</x:v>
      </x:c>
      <x:c r="I39" s="34" t="n">
        <x:v>-0.0009895526540661947</x:v>
      </x:c>
      <x:c r="J39" s="34" t="n">
        <x:v>0.05</x:v>
      </x:c>
      <x:c r="K39" s="34" t="n">
        <x:v>0.5</x:v>
      </x:c>
      <x:c r="L39" s="34" t="n">
        <x:v>0.4997524832313361</x:v>
      </x:c>
      <x:c r="M39" s="34" t="n">
        <x:v>0.5030667754083995</x:v>
      </x:c>
      <x:c r="N39" s="34" t="n">
        <x:v>0.058690395128784094</x:v>
      </x:c>
      <x:c r="O39" s="34" t="n">
        <x:v>6.227686426487101</x:v>
      </x:c>
      <x:c r="P39" s="34" t="n">
        <x:v>6.226523613473029</x:v>
      </x:c>
      <x:c r="Q39" s="34" t="str">
        <x:v>feasible_above_1p2</x:v>
      </x:c>
      <x:c r="R39" s="34" t="n">
        <x:v>0.7809314999817512</x:v>
      </x:c>
      <x:c r="S39" s="34" t="n">
        <x:v>0.9048863028438746</x:v>
      </x:c>
      <x:c r="T39" s="34" t="n">
        <x:v>0.003152946601702197</x:v>
      </x:c>
      <x:c r="U39" s="34" t="n">
        <x:v>0.10132500000000001</x:v>
      </x:c>
      <x:c r="V39" s="34" t="n">
        <x:v>0.1680730015406158</x:v>
      </x:c>
      <x:c r="W39" s="34" t="n">
        <x:v>0.16765869765268573</x:v>
      </x:c>
      <x:c r="X39" s="34" t="n">
        <x:v>0.1676586976526858</x:v>
      </x:c>
      <x:c r="Y39" s="34" t="n">
        <x:v>0.156325</x:v>
      </x:c>
      <x:c r="Z39" s="34" t="n">
        <x:v>0.15632665171667207</x:v>
      </x:c>
      <x:c r="AA39" s="25" t="n">
        <x:v>0.4151028575348651</x:v>
      </x:c>
      <x:c r="AB39" s="25" t="n">
        <x:v>18061.722327493553</x:v>
      </x:c>
      <x:c r="AC39" s="25" t="n">
        <x:v>41.51669372959901</x:v>
      </x:c>
      <x:c r="AD39" s="25" t="n">
        <x:v>6.505961572234426</x:v>
      </x:c>
      <x:c r="AE39" s="25" t="n">
        <x:v>0.7036968809421255</x:v>
      </x:c>
      <x:c r="AF39" s="25" t="n">
        <x:v>0</x:v>
      </x:c>
      <x:c r="AG39" s="25" t="n">
        <x:v>0</x:v>
      </x:c>
      <x:c r="AH39" s="25" t="str">
        <x:v>gas_phase_noncondensing</x:v>
      </x:c>
      <x:c r="AI39" s="25" t="n">
        <x:v>0.7265321104040403</x:v>
      </x:c>
      <x:c r="AJ39" s="25" t="n">
        <x:v>0</x:v>
      </x:c>
      <x:c r="AK39" s="25" t="str">
        <x:v>gas_phase_noncondensing</x:v>
      </x:c>
      <x:c r="AL39" s="25" t="n">
        <x:v>0.4439490863055074</x:v>
      </x:c>
      <x:c r="AM39" s="25" t="n">
        <x:v>0</x:v>
      </x:c>
      <x:c r="AN39" s="25" t="str">
        <x:v>gas_phase_noncondensing</x:v>
      </x:c>
      <x:c r="AO39" s="25" t="str">
        <x:v>within_control_tolerance</x:v>
      </x:c>
      <x:c r="AP39" s="25" t="str">
        <x:v>candidate_feasible_gas_phase_screen</x:v>
      </x:c>
      <x:c r="AQ39" s="25" t="str"/>
      <x:c r="AR39" s="34" t="n">
        <x:f>MAX(0,AE39-1)*100</x:f>
        <x:v>0</x:v>
      </x:c>
      <x:c r="AS39" s="34" t="n">
        <x:f>AF39*1000000</x:f>
        <x:v>0</x:v>
      </x:c>
      <x:c r="AT39" s="34" t="n">
        <x:f>AG39*1000000</x:f>
        <x:v>0</x:v>
      </x:c>
      <x:c r="AU39" s="34" t="n">
        <x:f>(Z39-Y39)*1000</x:f>
        <x:v>0.0016517166720741994</x:v>
      </x:c>
    </x:row>
    <x:row r="40" ht="18" customHeight="1">
      <x:c r="A40" s="25" t="str">
        <x:v>新鲜空气不变</x:v>
      </x:c>
      <x:c r="B40" s="25" t="str">
        <x:v>external240_fresh_air_fixed_j0p2_R2p000</x:v>
      </x:c>
      <x:c r="C40" s="33" t="b">
        <x:v>1</x:v>
      </x:c>
      <x:c r="D40" s="33" t="b">
        <x:v>0</x:v>
      </x:c>
      <x:c r="E40" s="34" t="n">
        <x:v>0.2</x:v>
      </x:c>
      <x:c r="F40" s="34" t="n">
        <x:v>3.6</x:v>
      </x:c>
      <x:c r="G40" s="34" t="n">
        <x:v>2</x:v>
      </x:c>
      <x:c r="H40" s="34" t="n">
        <x:v>1.134259880673982</x:v>
      </x:c>
      <x:c r="I40" s="34" t="n">
        <x:v>-0.8657401193260179</x:v>
      </x:c>
      <x:c r="J40" s="34" t="n">
        <x:v>0.1</x:v>
      </x:c>
      <x:c r="K40" s="34" t="n">
        <x:v>0.6666666666666666</x:v>
      </x:c>
      <x:c r="L40" s="34" t="n">
        <x:v>0.5314534986787982</x:v>
      </x:c>
      <x:c r="M40" s="34" t="n">
        <x:v>0.5347759164609063</x:v>
      </x:c>
      <x:c r="N40" s="34" t="n">
        <x:v>0.06663702759927885</x:v>
      </x:c>
      <x:c r="O40" s="34" t="n">
        <x:v>6.584131437665753</x:v>
      </x:c>
      <x:c r="P40" s="34" t="n">
        <x:v>6.584131437665751</x:v>
      </x:c>
      <x:c r="Q40" s="34" t="str">
        <x:v>feasible_above_1p2</x:v>
      </x:c>
      <x:c r="R40" s="34" t="n">
        <x:v>0.7809508955406695</x:v>
      </x:c>
      <x:c r="S40" s="34" t="n">
        <x:v>1</x:v>
      </x:c>
      <x:c r="T40" s="34" t="n">
        <x:v>0.0031467566826400865</x:v>
      </x:c>
      <x:c r="U40" s="34" t="n">
        <x:v>0.10132500000000001</x:v>
      </x:c>
      <x:c r="V40" s="34" t="n">
        <x:v>0.16908234823501045</x:v>
      </x:c>
      <x:c r="W40" s="34" t="n">
        <x:v>0.16861007291752922</x:v>
      </x:c>
      <x:c r="X40" s="34" t="n">
        <x:v>0.16861007291752925</x:v>
      </x:c>
      <x:c r="Y40" s="34" t="n">
        <x:v>0.156325</x:v>
      </x:c>
      <x:c r="Z40" s="34" t="n">
        <x:v>0.15632500000000002</x:v>
      </x:c>
      <x:c r="AA40" s="25" t="n">
        <x:v>0.43608148408589614</x:v>
      </x:c>
      <x:c r="AB40" s="25" t="n">
        <x:v>17863.23450515266</x:v>
      </x:c>
      <x:c r="AC40" s="25" t="n">
        <x:v>42.85699783899838</x:v>
      </x:c>
      <x:c r="AD40" s="25" t="n">
        <x:v>6.992989353590048</x:v>
      </x:c>
      <x:c r="AE40" s="25" t="n">
        <x:v>0.6874906022831082</x:v>
      </x:c>
      <x:c r="AF40" s="25" t="n">
        <x:v>0</x:v>
      </x:c>
      <x:c r="AG40" s="25" t="n">
        <x:v>0</x:v>
      </x:c>
      <x:c r="AH40" s="25" t="str">
        <x:v>gas_phase_noncondensing</x:v>
      </x:c>
      <x:c r="AI40" s="25" t="n">
        <x:v>0.7278782692417445</x:v>
      </x:c>
      <x:c r="AJ40" s="25" t="n">
        <x:v>0</x:v>
      </x:c>
      <x:c r="AK40" s="25" t="str">
        <x:v>gas_phase_noncondensing</x:v>
      </x:c>
      <x:c r="AL40" s="25" t="n">
        <x:v>0.4424064138581159</x:v>
      </x:c>
      <x:c r="AM40" s="25" t="n">
        <x:v>0</x:v>
      </x:c>
      <x:c r="AN40" s="25" t="str">
        <x:v>gas_phase_noncondensing</x:v>
      </x:c>
      <x:c r="AO40" s="25" t="str">
        <x:v>deviation_valve_area_saturated</x:v>
      </x:c>
      <x:c r="AP40" s="25" t="str">
        <x:v>requires_cegr_tracking_review</x:v>
      </x:c>
      <x:c r="AQ40" s="25" t="str"/>
      <x:c r="AR40" s="34" t="n">
        <x:f>MAX(0,AE40-1)*100</x:f>
        <x:v>0</x:v>
      </x:c>
      <x:c r="AS40" s="34" t="n">
        <x:f>AF40*1000000</x:f>
        <x:v>0</x:v>
      </x:c>
      <x:c r="AT40" s="34" t="n">
        <x:f>AG40*1000000</x:f>
        <x:v>0</x:v>
      </x:c>
      <x:c r="AU40" s="34" t="n">
        <x:f>(Z40-Y40)*1000</x:f>
        <x:v>2.7755575615628914e-14</x:v>
      </x:c>
    </x:row>
    <x:row r="41" ht="18" customHeight="1">
      <x:c r="A41" s="25" t="str">
        <x:v>新鲜空气不变</x:v>
      </x:c>
      <x:c r="B41" s="25" t="str">
        <x:v>external240_fresh_air_fixed_j0p2_R4p000</x:v>
      </x:c>
      <x:c r="C41" s="33" t="b">
        <x:v>1</x:v>
      </x:c>
      <x:c r="D41" s="33" t="b">
        <x:v>0</x:v>
      </x:c>
      <x:c r="E41" s="34" t="n">
        <x:v>0.2</x:v>
      </x:c>
      <x:c r="F41" s="34" t="n">
        <x:v>3.6</x:v>
      </x:c>
      <x:c r="G41" s="34" t="n">
        <x:v>4</x:v>
      </x:c>
      <x:c r="H41" s="34" t="n">
        <x:v>1.1342593979015414</x:v>
      </x:c>
      <x:c r="I41" s="34" t="n">
        <x:v>-2.865740602098459</x:v>
      </x:c>
      <x:c r="J41" s="34" t="n">
        <x:v>0.2</x:v>
      </x:c>
      <x:c r="K41" s="34" t="n">
        <x:v>0.8</x:v>
      </x:c>
      <x:c r="L41" s="34" t="n">
        <x:v>0.5314533926929287</x:v>
      </x:c>
      <x:c r="M41" s="34" t="n">
        <x:v>0.5347756832751603</x:v>
      </x:c>
      <x:c r="N41" s="34" t="n">
        <x:v>0.06663699923671311</x:v>
      </x:c>
      <x:c r="O41" s="34" t="n">
        <x:v>6.5841286387152085</x:v>
      </x:c>
      <x:c r="P41" s="34" t="n">
        <x:v>6.584128638715208</x:v>
      </x:c>
      <x:c r="Q41" s="34" t="str">
        <x:v>feasible_above_1p2</x:v>
      </x:c>
      <x:c r="R41" s="34" t="n">
        <x:v>0.7809504908656144</x:v>
      </x:c>
      <x:c r="S41" s="34" t="n">
        <x:v>1</x:v>
      </x:c>
      <x:c r="T41" s="34" t="n">
        <x:v>0.003146759078872754</x:v>
      </x:c>
      <x:c r="U41" s="34" t="n">
        <x:v>0.10132500000000001</x:v>
      </x:c>
      <x:c r="V41" s="34" t="n">
        <x:v>0.16908234817974893</x:v>
      </x:c>
      <x:c r="W41" s="34" t="n">
        <x:v>0.1686100730759252</x:v>
      </x:c>
      <x:c r="X41" s="34" t="n">
        <x:v>0.16861007307592527</x:v>
      </x:c>
      <x:c r="Y41" s="34" t="n">
        <x:v>0.156325</x:v>
      </x:c>
      <x:c r="Z41" s="34" t="n">
        <x:v>0.15632500000000002</x:v>
      </x:c>
      <x:c r="AA41" s="25" t="n">
        <x:v>0.43607464314357813</x:v>
      </x:c>
      <x:c r="AB41" s="25" t="n">
        <x:v>17863.125054177748</x:v>
      </x:c>
      <x:c r="AC41" s="25" t="n">
        <x:v>42.85558264999196</x:v>
      </x:c>
      <x:c r="AD41" s="25" t="n">
        <x:v>6.991561570685789</x:v>
      </x:c>
      <x:c r="AE41" s="25" t="n">
        <x:v>0.6875419011156013</x:v>
      </x:c>
      <x:c r="AF41" s="25" t="n">
        <x:v>0</x:v>
      </x:c>
      <x:c r="AG41" s="25" t="n">
        <x:v>0</x:v>
      </x:c>
      <x:c r="AH41" s="25" t="str">
        <x:v>gas_phase_noncondensing</x:v>
      </x:c>
      <x:c r="AI41" s="25" t="n">
        <x:v>0.7278688002133488</x:v>
      </x:c>
      <x:c r="AJ41" s="25" t="n">
        <x:v>0</x:v>
      </x:c>
      <x:c r="AK41" s="25" t="str">
        <x:v>gas_phase_noncondensing</x:v>
      </x:c>
      <x:c r="AL41" s="25" t="n">
        <x:v>0.44240076698857905</x:v>
      </x:c>
      <x:c r="AM41" s="25" t="n">
        <x:v>0</x:v>
      </x:c>
      <x:c r="AN41" s="25" t="str">
        <x:v>gas_phase_noncondensing</x:v>
      </x:c>
      <x:c r="AO41" s="25" t="str">
        <x:v>deviation_valve_area_saturated</x:v>
      </x:c>
      <x:c r="AP41" s="25" t="str">
        <x:v>requires_cegr_tracking_review</x:v>
      </x:c>
      <x:c r="AQ41" s="25" t="str"/>
      <x:c r="AR41" s="34" t="n">
        <x:f>MAX(0,AE41-1)*100</x:f>
        <x:v>0</x:v>
      </x:c>
      <x:c r="AS41" s="34" t="n">
        <x:f>AF41*1000000</x:f>
        <x:v>0</x:v>
      </x:c>
      <x:c r="AT41" s="34" t="n">
        <x:f>AG41*1000000</x:f>
        <x:v>0</x:v>
      </x:c>
      <x:c r="AU41" s="34" t="n">
        <x:f>(Z41-Y41)*1000</x:f>
        <x:v>2.7755575615628914e-14</x:v>
      </x:c>
    </x:row>
    <x:row r="42" ht="18" customHeight="1">
      <x:c r="A42" s="25" t="str">
        <x:v>新鲜空气不变</x:v>
      </x:c>
      <x:c r="B42" s="25" t="str">
        <x:v>external240_fresh_air_fixed_j0p2_R8p000</x:v>
      </x:c>
      <x:c r="C42" s="33" t="b">
        <x:v>1</x:v>
      </x:c>
      <x:c r="D42" s="33" t="b">
        <x:v>0</x:v>
      </x:c>
      <x:c r="E42" s="34" t="n">
        <x:v>0.2</x:v>
      </x:c>
      <x:c r="F42" s="34" t="n">
        <x:v>3.6</x:v>
      </x:c>
      <x:c r="G42" s="34" t="n">
        <x:v>8</x:v>
      </x:c>
      <x:c r="H42" s="34" t="n">
        <x:v>1.1342600010027133</x:v>
      </x:c>
      <x:c r="I42" s="34" t="n">
        <x:v>-6.865739998997286</x:v>
      </x:c>
      <x:c r="J42" s="34" t="n">
        <x:v>0.4</x:v>
      </x:c>
      <x:c r="K42" s="34" t="n">
        <x:v>0.8888888888888888</x:v>
      </x:c>
      <x:c r="L42" s="34" t="n">
        <x:v>0.531453525095264</x:v>
      </x:c>
      <x:c r="M42" s="34" t="n">
        <x:v>0.5347759743272618</x:v>
      </x:c>
      <x:c r="N42" s="34" t="n">
        <x:v>0.06663703466851328</x:v>
      </x:c>
      <x:c r="O42" s="34" t="n">
        <x:v>6.584132132241521</x:v>
      </x:c>
      <x:c r="P42" s="34" t="n">
        <x:v>6.5841321322415185</x:v>
      </x:c>
      <x:c r="Q42" s="34" t="str">
        <x:v>feasible_above_1p2</x:v>
      </x:c>
      <x:c r="R42" s="34" t="n">
        <x:v>0.7809509955925007</x:v>
      </x:c>
      <x:c r="S42" s="34" t="n">
        <x:v>1</x:v>
      </x:c>
      <x:c r="T42" s="34" t="n">
        <x:v>0.0031467560956538487</x:v>
      </x:c>
      <x:c r="U42" s="34" t="n">
        <x:v>0.10132500000000003</x:v>
      </x:c>
      <x:c r="V42" s="34" t="n">
        <x:v>0.16908234825600915</x:v>
      </x:c>
      <x:c r="W42" s="34" t="n">
        <x:v>0.16861007288527485</x:v>
      </x:c>
      <x:c r="X42" s="34" t="n">
        <x:v>0.16861007288527485</x:v>
      </x:c>
      <x:c r="Y42" s="34" t="n">
        <x:v>0.156325</x:v>
      </x:c>
      <x:c r="Z42" s="34" t="n">
        <x:v>0.156325</x:v>
      </x:c>
      <x:c r="AA42" s="25" t="n">
        <x:v>0.4360831756391537</x:v>
      </x:c>
      <x:c r="AB42" s="25" t="n">
        <x:v>17863.257096062338</x:v>
      </x:c>
      <x:c r="AC42" s="25" t="n">
        <x:v>42.85727612579342</x:v>
      </x:c>
      <x:c r="AD42" s="25" t="n">
        <x:v>6.993275300863644</x:v>
      </x:c>
      <x:c r="AE42" s="25" t="n">
        <x:v>0.6874803193611214</x:v>
      </x:c>
      <x:c r="AF42" s="25" t="n">
        <x:v>0</x:v>
      </x:c>
      <x:c r="AG42" s="25" t="n">
        <x:v>0</x:v>
      </x:c>
      <x:c r="AH42" s="25" t="str">
        <x:v>gas_phase_noncondensing</x:v>
      </x:c>
      <x:c r="AI42" s="25" t="n">
        <x:v>0.7278806104564072</x:v>
      </x:c>
      <x:c r="AJ42" s="25" t="n">
        <x:v>0</x:v>
      </x:c>
      <x:c r="AK42" s="25" t="str">
        <x:v>gas_phase_noncondensing</x:v>
      </x:c>
      <x:c r="AL42" s="25" t="n">
        <x:v>0.4424079427146331</x:v>
      </x:c>
      <x:c r="AM42" s="25" t="n">
        <x:v>0</x:v>
      </x:c>
      <x:c r="AN42" s="25" t="str">
        <x:v>gas_phase_noncondensing</x:v>
      </x:c>
      <x:c r="AO42" s="25" t="str">
        <x:v>deviation_valve_area_saturated</x:v>
      </x:c>
      <x:c r="AP42" s="25" t="str">
        <x:v>requires_cegr_tracking_review</x:v>
      </x:c>
      <x:c r="AQ42" s="25" t="str"/>
      <x:c r="AR42" s="34" t="n">
        <x:f>MAX(0,AE42-1)*100</x:f>
        <x:v>0</x:v>
      </x:c>
      <x:c r="AS42" s="34" t="n">
        <x:f>AF42*1000000</x:f>
        <x:v>0</x:v>
      </x:c>
      <x:c r="AT42" s="34" t="n">
        <x:f>AG42*1000000</x:f>
        <x:v>0</x:v>
      </x:c>
      <x:c r="AU42" s="34" t="n">
        <x:f>(Z42-Y42)*1000</x:f>
        <x:v>0</x:v>
      </x:c>
    </x:row>
    <x:row r="43" ht="18" customHeight="1">
      <x:c r="A43" s="25" t="str">
        <x:v>新鲜空气不变</x:v>
      </x:c>
      <x:c r="B43" s="25" t="str">
        <x:v>external240_fresh_air_fixed_j0p4_R0p000</x:v>
      </x:c>
      <x:c r="C43" s="33" t="b">
        <x:v>1</x:v>
      </x:c>
      <x:c r="D43" s="33" t="b">
        <x:v>1</x:v>
      </x:c>
      <x:c r="E43" s="34" t="n">
        <x:v>0.4</x:v>
      </x:c>
      <x:c r="F43" s="34" t="n">
        <x:v>2.4</x:v>
      </x:c>
      <x:c r="G43" s="34" t="n">
        <x:v>0</x:v>
      </x:c>
      <x:c r="H43" s="34" t="n">
        <x:v>0</x:v>
      </x:c>
      <x:c r="I43" s="34" t="n">
        <x:v>0</x:v>
      </x:c>
      <x:c r="J43" s="34" t="n">
        <x:v>0.005</x:v>
      </x:c>
      <x:c r="K43" s="34" t="n">
        <x:v>0</x:v>
      </x:c>
      <x:c r="L43" s="34" t="n">
        <x:v>0</x:v>
      </x:c>
      <x:c r="M43" s="34" t="n">
        <x:v>0</x:v>
      </x:c>
      <x:c r="N43" s="34" t="n">
        <x:v>0</x:v>
      </x:c>
      <x:c r="O43" s="34" t="n">
        <x:v>2.3985816207443227</x:v>
      </x:c>
      <x:c r="P43" s="34" t="n">
        <x:v>2.398581620744314</x:v>
      </x:c>
      <x:c r="Q43" s="34" t="str">
        <x:v>feasible_above_1p2</x:v>
      </x:c>
      <x:c r="R43" s="34" t="n">
        <x:v>0.7585316796515074</x:v>
      </x:c>
      <x:c r="S43" s="34" t="n">
        <x:v>9.999999999999997e-8</x:v>
      </x:c>
      <x:c r="T43" s="34" t="n">
        <x:v>0</x:v>
      </x:c>
      <x:c r="U43" s="34" t="n">
        <x:v>0.10132500000000001</x:v>
      </x:c>
      <x:c r="V43" s="34" t="n">
        <x:v>0.17858282706860215</x:v>
      </x:c>
      <x:c r="W43" s="34" t="n">
        <x:v>0.178398503142676</x:v>
      </x:c>
      <x:c r="X43" s="34" t="n">
        <x:v>0.17839850314267602</x:v>
      </x:c>
      <x:c r="Y43" s="34" t="n">
        <x:v>0.171325</x:v>
      </x:c>
      <x:c r="Z43" s="34" t="n">
        <x:v>0.171325</x:v>
      </x:c>
      <x:c r="AA43" s="25" t="n">
        <x:v>0.08136281710010712</x:v>
      </x:c>
      <x:c r="AB43" s="25" t="n">
        <x:v>21278.250000000004</x:v>
      </x:c>
      <x:c r="AC43" s="25" t="n">
        <x:v>19.8938688918102</x:v>
      </x:c>
      <x:c r="AD43" s="25" t="n">
        <x:v>10.62290773996034</x:v>
      </x:c>
      <x:c r="AE43" s="25" t="n">
        <x:v>0.5032989885905986</x:v>
      </x:c>
      <x:c r="AF43" s="25" t="n">
        <x:v>0</x:v>
      </x:c>
      <x:c r="AG43" s="25" t="n">
        <x:v>0</x:v>
      </x:c>
      <x:c r="AH43" s="25" t="str">
        <x:v>gas_phase_noncondensing</x:v>
      </x:c>
      <x:c r="AI43" s="25" t="n">
        <x:v>0.9995911620114377</x:v>
      </x:c>
      <x:c r="AJ43" s="25" t="n">
        <x:v>0.000024675846153910834</x:v>
      </x:c>
      <x:c r="AK43" s="25" t="str">
        <x:v>condensing_or_supersaturated</x:v>
      </x:c>
      <x:c r="AL43" s="25" t="n">
        <x:v>0.500469301971667</x:v>
      </x:c>
      <x:c r="AM43" s="25" t="n">
        <x:v>0</x:v>
      </x:c>
      <x:c r="AN43" s="25" t="str">
        <x:v>gas_phase_noncondensing</x:v>
      </x:c>
      <x:c r="AO43" s="25" t="str">
        <x:v>not_applicable_zero_target</x:v>
      </x:c>
      <x:c r="AP43" s="25" t="str">
        <x:v>candidate_feasible_gas_phase_screen</x:v>
      </x:c>
      <x:c r="AQ43" s="25" t="str"/>
      <x:c r="AR43" s="34" t="n">
        <x:f>MAX(0,AE43-1)*100</x:f>
        <x:v>0</x:v>
      </x:c>
      <x:c r="AS43" s="34" t="n">
        <x:f>AF43*1000000</x:f>
        <x:v>0</x:v>
      </x:c>
      <x:c r="AT43" s="34" t="n">
        <x:f>AG43*1000000</x:f>
        <x:v>0</x:v>
      </x:c>
      <x:c r="AU43" s="34" t="n">
        <x:f>(Z43-Y43)*1000</x:f>
        <x:v>0</x:v>
      </x:c>
    </x:row>
    <x:row r="44" ht="18" customHeight="1">
      <x:c r="A44" s="25" t="str">
        <x:v>新鲜空气不变</x:v>
      </x:c>
      <x:c r="B44" s="25" t="str">
        <x:v>external240_fresh_air_fixed_j0p4_R0p100</x:v>
      </x:c>
      <x:c r="C44" s="33" t="b">
        <x:v>1</x:v>
      </x:c>
      <x:c r="D44" s="33" t="b">
        <x:v>1</x:v>
      </x:c>
      <x:c r="E44" s="34" t="n">
        <x:v>0.4</x:v>
      </x:c>
      <x:c r="F44" s="34" t="n">
        <x:v>2.4</x:v>
      </x:c>
      <x:c r="G44" s="34" t="n">
        <x:v>0.1</x:v>
      </x:c>
      <x:c r="H44" s="34" t="n">
        <x:v>0.09999923631909122</x:v>
      </x:c>
      <x:c r="I44" s="34" t="n">
        <x:v>-7.636809087885332e-7</x:v>
      </x:c>
      <x:c r="J44" s="34" t="n">
        <x:v>0.005000000000000001</x:v>
      </x:c>
      <x:c r="K44" s="34" t="n">
        <x:v>0.09090909090909091</x:v>
      </x:c>
      <x:c r="L44" s="34" t="n">
        <x:v>0.09090845976734105</x:v>
      </x:c>
      <x:c r="M44" s="34" t="n">
        <x:v>0.09167733586650591</x:v>
      </x:c>
      <x:c r="N44" s="34" t="n">
        <x:v>0.007833186330199894</x:v>
      </x:c>
      <x:c r="O44" s="34" t="n">
        <x:v>2.5397409151290438</x:v>
      </x:c>
      <x:c r="P44" s="34" t="n">
        <x:v>2.5397400088972635</x:v>
      </x:c>
      <x:c r="Q44" s="34" t="str">
        <x:v>feasible_above_1p2</x:v>
      </x:c>
      <x:c r="R44" s="34" t="n">
        <x:v>0.7585071492971218</x:v>
      </x:c>
      <x:c r="S44" s="34" t="n">
        <x:v>0.13699465822558507</x:v>
      </x:c>
      <x:c r="T44" s="34" t="n">
        <x:v>0.0038127676918791385</x:v>
      </x:c>
      <x:c r="U44" s="34" t="n">
        <x:v>0.10132500000000001</x:v>
      </x:c>
      <x:c r="V44" s="34" t="n">
        <x:v>0.17942329429644382</x:v>
      </x:c>
      <x:c r="W44" s="34" t="n">
        <x:v>0.1792002631892054</x:v>
      </x:c>
      <x:c r="X44" s="34" t="n">
        <x:v>0.17920026318920543</x:v>
      </x:c>
      <x:c r="Y44" s="34" t="n">
        <x:v>0.171325</x:v>
      </x:c>
      <x:c r="Z44" s="34" t="n">
        <x:v>0.17132500272196116</x:v>
      </x:c>
      <x:c r="AA44" s="25" t="n">
        <x:v>0.1750627601824731</x:v>
      </x:c>
      <x:c r="AB44" s="25" t="n">
        <x:v>20364.186725522708</x:v>
      </x:c>
      <x:c r="AC44" s="25" t="n">
        <x:v>24.37788605703821</x:v>
      </x:c>
      <x:c r="AD44" s="25" t="n">
        <x:v>3.230048461644458</x:v>
      </x:c>
      <x:c r="AE44" s="25" t="n">
        <x:v>0.8221182472850151</x:v>
      </x:c>
      <x:c r="AF44" s="25" t="n">
        <x:v>0</x:v>
      </x:c>
      <x:c r="AG44" s="25" t="n">
        <x:v>0</x:v>
      </x:c>
      <x:c r="AH44" s="25" t="str">
        <x:v>gas_phase_noncondensing</x:v>
      </x:c>
      <x:c r="AI44" s="25" t="n">
        <x:v>0.9995883642202846</x:v>
      </x:c>
      <x:c r="AJ44" s="25" t="n">
        <x:v>0.000031079329416602284</x:v>
      </x:c>
      <x:c r="AK44" s="25" t="str">
        <x:v>condensing_or_supersaturated</x:v>
      </x:c>
      <x:c r="AL44" s="25" t="n">
        <x:v>0.5812677893940019</x:v>
      </x:c>
      <x:c r="AM44" s="25" t="n">
        <x:v>0</x:v>
      </x:c>
      <x:c r="AN44" s="25" t="str">
        <x:v>gas_phase_noncondensing</x:v>
      </x:c>
      <x:c r="AO44" s="25" t="str">
        <x:v>within_control_tolerance</x:v>
      </x:c>
      <x:c r="AP44" s="25" t="str">
        <x:v>candidate_feasible_gas_phase_screen</x:v>
      </x:c>
      <x:c r="AQ44" s="25" t="str"/>
      <x:c r="AR44" s="34" t="n">
        <x:f>MAX(0,AE44-1)*100</x:f>
        <x:v>0</x:v>
      </x:c>
      <x:c r="AS44" s="34" t="n">
        <x:f>AF44*1000000</x:f>
        <x:v>0</x:v>
      </x:c>
      <x:c r="AT44" s="34" t="n">
        <x:f>AG44*1000000</x:f>
        <x:v>0</x:v>
      </x:c>
      <x:c r="AU44" s="34" t="n">
        <x:f>(Z44-Y44)*1000</x:f>
        <x:v>0.0000027219611564710533</x:v>
      </x:c>
    </x:row>
    <x:row r="45" ht="18" customHeight="1">
      <x:c r="A45" s="25" t="str">
        <x:v>新鲜空气不变</x:v>
      </x:c>
      <x:c r="B45" s="25" t="str">
        <x:v>external240_fresh_air_fixed_j0p4_R0p500</x:v>
      </x:c>
      <x:c r="C45" s="33" t="b">
        <x:v>1</x:v>
      </x:c>
      <x:c r="D45" s="33" t="b">
        <x:v>1</x:v>
      </x:c>
      <x:c r="E45" s="34" t="n">
        <x:v>0.4</x:v>
      </x:c>
      <x:c r="F45" s="34" t="n">
        <x:v>2.4</x:v>
      </x:c>
      <x:c r="G45" s="34" t="n">
        <x:v>0.5</x:v>
      </x:c>
      <x:c r="H45" s="34" t="n">
        <x:v>0.49987513049764964</x:v>
      </x:c>
      <x:c r="I45" s="34" t="n">
        <x:v>-0.00012486950235035543</x:v>
      </x:c>
      <x:c r="J45" s="34" t="n">
        <x:v>0.025</x:v>
      </x:c>
      <x:c r="K45" s="34" t="n">
        <x:v>0.3333333333333333</x:v>
      </x:c>
      <x:c r="L45" s="34" t="n">
        <x:v>0.3332778308129059</x:v>
      </x:c>
      <x:c r="M45" s="34" t="n">
        <x:v>0.3354409630925306</x:v>
      </x:c>
      <x:c r="N45" s="34" t="n">
        <x:v>0.03915637193935624</x:v>
      </x:c>
      <x:c r="O45" s="34" t="n">
        <x:v>3.1045075964572986</x:v>
      </x:c>
      <x:c r="P45" s="34" t="n">
        <x:v>3.1043946716796214</x:v>
      </x:c>
      <x:c r="Q45" s="34" t="str">
        <x:v>feasible_above_1p2</x:v>
      </x:c>
      <x:c r="R45" s="34" t="n">
        <x:v>0.7584091712194343</x:v>
      </x:c>
      <x:c r="S45" s="34" t="n">
        <x:v>0.608648682278134</x:v>
      </x:c>
      <x:c r="T45" s="34" t="n">
        <x:v>0.003798936713795156</x:v>
      </x:c>
      <x:c r="U45" s="34" t="n">
        <x:v>0.10132500000000003</x:v>
      </x:c>
      <x:c r="V45" s="34" t="n">
        <x:v>0.1830795773960361</x:v>
      </x:c>
      <x:c r="W45" s="34" t="n">
        <x:v>0.18266492239060436</x:v>
      </x:c>
      <x:c r="X45" s="34" t="n">
        <x:v>0.1826649223906044</x:v>
      </x:c>
      <x:c r="Y45" s="34" t="n">
        <x:v>0.171325</x:v>
      </x:c>
      <x:c r="Z45" s="34" t="n">
        <x:v>0.17132505031614922</x:v>
      </x:c>
      <x:c r="AA45" s="25" t="n">
        <x:v>0.4224949044994319</x:v>
      </x:c>
      <x:c r="AB45" s="25" t="n">
        <x:v>17975.178750376264</x:v>
      </x:c>
      <x:c r="AC45" s="25" t="n">
        <x:v>36.02421241009671</x:v>
      </x:c>
      <x:c r="AD45" s="25" t="n">
        <x:v>-0.11392283830842587</x:v>
      </x:c>
      <x:c r="AE45" s="25" t="n">
        <x:v>1.0062643148576287</x:v>
      </x:c>
      <x:c r="AF45" s="25" t="n">
        <x:v>2.1907135484692087e-8</x:v>
      </x:c>
      <x:c r="AG45" s="25" t="n">
        <x:v>0.0000013144281290815252</x:v>
      </x:c>
      <x:c r="AH45" s="25" t="str">
        <x:v>condensing_or_supersaturated</x:v>
      </x:c>
      <x:c r="AI45" s="25" t="n">
        <x:v>0.9995801295280106</x:v>
      </x:c>
      <x:c r="AJ45" s="25" t="n">
        <x:v>0.00006080563947066701</x:v>
      </x:c>
      <x:c r="AK45" s="25" t="str">
        <x:v>condensing_or_supersaturated</x:v>
      </x:c>
      <x:c r="AL45" s="25" t="n">
        <x:v>0.565666485352574</x:v>
      </x:c>
      <x:c r="AM45" s="25" t="n">
        <x:v>0</x:v>
      </x:c>
      <x:c r="AN45" s="25" t="str">
        <x:v>gas_phase_noncondensing</x:v>
      </x:c>
      <x:c r="AO45" s="25" t="str">
        <x:v>within_control_tolerance</x:v>
      </x:c>
      <x:c r="AP45" s="25" t="str">
        <x:v>not_acceptable_mixer_condensation</x:v>
      </x:c>
      <x:c r="AQ45" s="25" t="str"/>
      <x:c r="AR45" s="34" t="n">
        <x:f>MAX(0,AE45-1)*100</x:f>
        <x:v>0.6264314857628683</x:v>
      </x:c>
      <x:c r="AS45" s="34" t="n">
        <x:f>AF45*1000000</x:f>
        <x:v>0.021907135484692086</x:v>
      </x:c>
      <x:c r="AT45" s="34" t="n">
        <x:f>AG45*1000000</x:f>
        <x:v>1.3144281290815252</x:v>
      </x:c>
      <x:c r="AU45" s="34" t="n">
        <x:f>(Z45-Y45)*1000</x:f>
        <x:v>0.00005031614921935379</x:v>
      </x:c>
    </x:row>
    <x:row r="46" ht="18" customHeight="1">
      <x:c r="A46" s="25" t="str">
        <x:v>新鲜空气不变</x:v>
      </x:c>
      <x:c r="B46" s="25" t="str">
        <x:v>external240_fresh_air_fixed_j0p4_R1p000</x:v>
      </x:c>
      <x:c r="C46" s="33" t="b">
        <x:v>1</x:v>
      </x:c>
      <x:c r="D46" s="33" t="b">
        <x:v>0</x:v>
      </x:c>
      <x:c r="E46" s="34" t="n">
        <x:v>0.4</x:v>
      </x:c>
      <x:c r="F46" s="34" t="n">
        <x:v>2.4</x:v>
      </x:c>
      <x:c r="G46" s="34" t="n">
        <x:v>1</x:v>
      </x:c>
      <x:c r="H46" s="34" t="n">
        <x:v>0.913290162837271</x:v>
      </x:c>
      <x:c r="I46" s="34" t="n">
        <x:v>-0.08670983716272895</x:v>
      </x:c>
      <x:c r="J46" s="34" t="n">
        <x:v>0.05</x:v>
      </x:c>
      <x:c r="K46" s="34" t="n">
        <x:v>0.5</x:v>
      </x:c>
      <x:c r="L46" s="34" t="n">
        <x:v>0.47734012361351813</x:v>
      </x:c>
      <x:c r="M46" s="34" t="n">
        <x:v>0.4798795925470935</x:v>
      </x:c>
      <x:c r="N46" s="34" t="n">
        <x:v>0.0715402678863736</x:v>
      </x:c>
      <x:c r="O46" s="34" t="n">
        <x:v>3.6889574031434895</x:v>
      </x:c>
      <x:c r="P46" s="34" t="n">
        <x:v>3.688957403143488</x:v>
      </x:c>
      <x:c r="Q46" s="34" t="str">
        <x:v>feasible_above_1p2</x:v>
      </x:c>
      <x:c r="R46" s="34" t="n">
        <x:v>0.7582962806853778</x:v>
      </x:c>
      <x:c r="S46" s="34" t="n">
        <x:v>1</x:v>
      </x:c>
      <x:c r="T46" s="34" t="n">
        <x:v>0.0037754089483812143</x:v>
      </x:c>
      <x:c r="U46" s="34" t="n">
        <x:v>0.10132500000000001</x:v>
      </x:c>
      <x:c r="V46" s="34" t="n">
        <x:v>0.18743305387558937</x:v>
      </x:c>
      <x:c r="W46" s="34" t="n">
        <x:v>0.18675830975682844</x:v>
      </x:c>
      <x:c r="X46" s="34" t="n">
        <x:v>0.1867583097568285</x:v>
      </x:c>
      <x:c r="Y46" s="34" t="n">
        <x:v>0.171325</x:v>
      </x:c>
      <x:c r="Z46" s="34" t="n">
        <x:v>0.17132500000000006</x:v>
      </x:c>
      <x:c r="AA46" s="25" t="n">
        <x:v>0.5677054032882285</x:v>
      </x:c>
      <x:c r="AB46" s="25" t="n">
        <x:v>16594.153090518514</x:v>
      </x:c>
      <x:c r="AC46" s="25" t="n">
        <x:v>42.846446672885236</x:v>
      </x:c>
      <x:c r="AD46" s="25" t="n">
        <x:v>1.3625393771374092</x:v>
      </x:c>
      <x:c r="AE46" s="25" t="n">
        <x:v>0.9309695775262706</x:v>
      </x:c>
      <x:c r="AF46" s="25" t="n">
        <x:v>0</x:v>
      </x:c>
      <x:c r="AG46" s="25" t="n">
        <x:v>0</x:v>
      </x:c>
      <x:c r="AH46" s="25" t="str">
        <x:v>near_saturation_risk</x:v>
      </x:c>
      <x:c r="AI46" s="25" t="n">
        <x:v>0.9995808949133633</x:v>
      </x:c>
      <x:c r="AJ46" s="25" t="n">
        <x:v>0.00009196459126240398</x:v>
      </x:c>
      <x:c r="AK46" s="25" t="str">
        <x:v>condensing_or_supersaturated</x:v>
      </x:c>
      <x:c r="AL46" s="25" t="n">
        <x:v>0.5530498911542434</x:v>
      </x:c>
      <x:c r="AM46" s="25" t="n">
        <x:v>0</x:v>
      </x:c>
      <x:c r="AN46" s="25" t="str">
        <x:v>gas_phase_noncondensing</x:v>
      </x:c>
      <x:c r="AO46" s="25" t="str">
        <x:v>deviation_valve_area_saturated</x:v>
      </x:c>
      <x:c r="AP46" s="25" t="str">
        <x:v>requires_cegr_tracking_review</x:v>
      </x:c>
      <x:c r="AQ46" s="25" t="str"/>
      <x:c r="AR46" s="34" t="n">
        <x:f>MAX(0,AE46-1)*100</x:f>
        <x:v>0</x:v>
      </x:c>
      <x:c r="AS46" s="34" t="n">
        <x:f>AF46*1000000</x:f>
        <x:v>0</x:v>
      </x:c>
      <x:c r="AT46" s="34" t="n">
        <x:f>AG46*1000000</x:f>
        <x:v>0</x:v>
      </x:c>
      <x:c r="AU46" s="34" t="n">
        <x:f>(Z46-Y46)*1000</x:f>
        <x:v>5.551115123125783e-14</x:v>
      </x:c>
    </x:row>
    <x:row r="47" ht="18" customHeight="1">
      <x:c r="A47" s="25" t="str">
        <x:v>新鲜空气不变</x:v>
      </x:c>
      <x:c r="B47" s="25" t="str">
        <x:v>external240_fresh_air_fixed_j0p4_R2p000</x:v>
      </x:c>
      <x:c r="C47" s="33" t="b">
        <x:v>1</x:v>
      </x:c>
      <x:c r="D47" s="33" t="b">
        <x:v>0</x:v>
      </x:c>
      <x:c r="E47" s="34" t="n">
        <x:v>0.4</x:v>
      </x:c>
      <x:c r="F47" s="34" t="n">
        <x:v>2.4</x:v>
      </x:c>
      <x:c r="G47" s="34" t="n">
        <x:v>2</x:v>
      </x:c>
      <x:c r="H47" s="34" t="n">
        <x:v>0.9132902244616244</x:v>
      </x:c>
      <x:c r="I47" s="34" t="n">
        <x:v>-1.0867097755383757</x:v>
      </x:c>
      <x:c r="J47" s="34" t="n">
        <x:v>0.1</x:v>
      </x:c>
      <x:c r="K47" s="34" t="n">
        <x:v>0.6666666666666666</x:v>
      </x:c>
      <x:c r="L47" s="34" t="n">
        <x:v>0.47734014044764833</x:v>
      </x:c>
      <x:c r="M47" s="34" t="n">
        <x:v>0.4798797944444409</x:v>
      </x:c>
      <x:c r="N47" s="34" t="n">
        <x:v>0.07154027271356098</x:v>
      </x:c>
      <x:c r="O47" s="34" t="n">
        <x:v>3.6889584469279084</x:v>
      </x:c>
      <x:c r="P47" s="34" t="n">
        <x:v>3.6889584469279075</x:v>
      </x:c>
      <x:c r="Q47" s="34" t="str">
        <x:v>feasible_above_1p2</x:v>
      </x:c>
      <x:c r="R47" s="34" t="n">
        <x:v>0.7582963848900574</x:v>
      </x:c>
      <x:c r="S47" s="34" t="n">
        <x:v>1</x:v>
      </x:c>
      <x:c r="T47" s="34" t="n">
        <x:v>0.0037754063581148913</x:v>
      </x:c>
      <x:c r="U47" s="34" t="n">
        <x:v>0.10132500000000003</x:v>
      </x:c>
      <x:c r="V47" s="34" t="n">
        <x:v>0.18743304678403794</x:v>
      </x:c>
      <x:c r="W47" s="34" t="n">
        <x:v>0.18675830262181212</x:v>
      </x:c>
      <x:c r="X47" s="34" t="n">
        <x:v>0.18675830262181217</x:v>
      </x:c>
      <x:c r="Y47" s="34" t="n">
        <x:v>0.171325</x:v>
      </x:c>
      <x:c r="Z47" s="34" t="n">
        <x:v>0.17132500000000003</x:v>
      </x:c>
      <x:c r="AA47" s="25" t="n">
        <x:v>0.5677270205130259</x:v>
      </x:c>
      <x:c r="AB47" s="25" t="n">
        <x:v>16594.50049132997</x:v>
      </x:c>
      <x:c r="AC47" s="25" t="n">
        <x:v>42.85222128155527</x:v>
      </x:c>
      <x:c r="AD47" s="25" t="n">
        <x:v>1.3680394169088714</x:v>
      </x:c>
      <x:c r="AE47" s="25" t="n">
        <x:v>0.930702271937668</x:v>
      </x:c>
      <x:c r="AF47" s="25" t="n">
        <x:v>0</x:v>
      </x:c>
      <x:c r="AG47" s="25" t="n">
        <x:v>0</x:v>
      </x:c>
      <x:c r="AH47" s="25" t="str">
        <x:v>near_saturation_risk</x:v>
      </x:c>
      <x:c r="AI47" s="25" t="n">
        <x:v>0.9995810103029757</x:v>
      </x:c>
      <x:c r="AJ47" s="25" t="n">
        <x:v>0.00009202153610940353</x:v>
      </x:c>
      <x:c r="AK47" s="25" t="str">
        <x:v>condensing_or_supersaturated</x:v>
      </x:c>
      <x:c r="AL47" s="25" t="n">
        <x:v>0.5530474882148025</x:v>
      </x:c>
      <x:c r="AM47" s="25" t="n">
        <x:v>0</x:v>
      </x:c>
      <x:c r="AN47" s="25" t="str">
        <x:v>gas_phase_noncondensing</x:v>
      </x:c>
      <x:c r="AO47" s="25" t="str">
        <x:v>deviation_valve_area_saturated</x:v>
      </x:c>
      <x:c r="AP47" s="25" t="str">
        <x:v>requires_cegr_tracking_review</x:v>
      </x:c>
      <x:c r="AQ47" s="25" t="str"/>
      <x:c r="AR47" s="34" t="n">
        <x:f>MAX(0,AE47-1)*100</x:f>
        <x:v>0</x:v>
      </x:c>
      <x:c r="AS47" s="34" t="n">
        <x:f>AF47*1000000</x:f>
        <x:v>0</x:v>
      </x:c>
      <x:c r="AT47" s="34" t="n">
        <x:f>AG47*1000000</x:f>
        <x:v>0</x:v>
      </x:c>
      <x:c r="AU47" s="34" t="n">
        <x:f>(Z47-Y47)*1000</x:f>
        <x:v>2.7755575615628914e-14</x:v>
      </x:c>
    </x:row>
    <x:row r="48" ht="18" customHeight="1">
      <x:c r="A48" s="25" t="str">
        <x:v>新鲜空气不变</x:v>
      </x:c>
      <x:c r="B48" s="25" t="str">
        <x:v>external240_fresh_air_fixed_j0p4_R4p000</x:v>
      </x:c>
      <x:c r="C48" s="33" t="b">
        <x:v>1</x:v>
      </x:c>
      <x:c r="D48" s="33" t="b">
        <x:v>0</x:v>
      </x:c>
      <x:c r="E48" s="34" t="n">
        <x:v>0.4</x:v>
      </x:c>
      <x:c r="F48" s="34" t="n">
        <x:v>2.4</x:v>
      </x:c>
      <x:c r="G48" s="34" t="n">
        <x:v>4</x:v>
      </x:c>
      <x:c r="H48" s="34" t="n">
        <x:v>0.9132902079446225</x:v>
      </x:c>
      <x:c r="I48" s="34" t="n">
        <x:v>-3.0867097920553777</x:v>
      </x:c>
      <x:c r="J48" s="34" t="n">
        <x:v>0.2</x:v>
      </x:c>
      <x:c r="K48" s="34" t="n">
        <x:v>0.8</x:v>
      </x:c>
      <x:c r="L48" s="34" t="n">
        <x:v>0.47734013593564384</x:v>
      </x:c>
      <x:c r="M48" s="34" t="n">
        <x:v>0.4798796606432051</x:v>
      </x:c>
      <x:c r="N48" s="34" t="n">
        <x:v>0.07154027141351553</x:v>
      </x:c>
      <x:c r="O48" s="34" t="n">
        <x:v>3.6889577549506187</x:v>
      </x:c>
      <x:c r="P48" s="34" t="n">
        <x:v>3.6889577485766876</x:v>
      </x:c>
      <x:c r="Q48" s="34" t="str">
        <x:v>feasible_above_1p2</x:v>
      </x:c>
      <x:c r="R48" s="34" t="n">
        <x:v>0.7582963122233652</x:v>
      </x:c>
      <x:c r="S48" s="34" t="n">
        <x:v>1</x:v>
      </x:c>
      <x:c r="T48" s="34" t="n">
        <x:v>0.0037754083902073548</x:v>
      </x:c>
      <x:c r="U48" s="34" t="n">
        <x:v>0.10132500000000001</x:v>
      </x:c>
      <x:c r="V48" s="34" t="n">
        <x:v>0.1874330520667257</x:v>
      </x:c>
      <x:c r="W48" s="34" t="n">
        <x:v>0.18675830791626716</x:v>
      </x:c>
      <x:c r="X48" s="34" t="n">
        <x:v>0.1867583079162672</x:v>
      </x:c>
      <x:c r="Y48" s="34" t="n">
        <x:v>0.171325</x:v>
      </x:c>
      <x:c r="Z48" s="34" t="n">
        <x:v>0.17132500003145426</x:v>
      </x:c>
      <x:c r="AA48" s="25" t="n">
        <x:v>0.5677119274197764</x:v>
      </x:c>
      <x:c r="AB48" s="25" t="n">
        <x:v>16594.178613441294</x:v>
      </x:c>
      <x:c r="AC48" s="25" t="n">
        <x:v>42.84682648464212</x:v>
      </x:c>
      <x:c r="AD48" s="25" t="n">
        <x:v>1.362926579884217</x:v>
      </x:c>
      <x:c r="AE48" s="25" t="n">
        <x:v>0.9309507433833097</x:v>
      </x:c>
      <x:c r="AF48" s="25" t="n">
        <x:v>0</x:v>
      </x:c>
      <x:c r="AG48" s="25" t="n">
        <x:v>0</x:v>
      </x:c>
      <x:c r="AH48" s="25" t="str">
        <x:v>near_saturation_risk</x:v>
      </x:c>
      <x:c r="AI48" s="25" t="n">
        <x:v>0.9995809297272057</x:v>
      </x:c>
      <x:c r="AJ48" s="25" t="n">
        <x:v>0.00009198174670462287</x:v>
      </x:c>
      <x:c r="AK48" s="25" t="str">
        <x:v>condensing_or_supersaturated</x:v>
      </x:c>
      <x:c r="AL48" s="25" t="n">
        <x:v>0.5530483591589767</x:v>
      </x:c>
      <x:c r="AM48" s="25" t="n">
        <x:v>0</x:v>
      </x:c>
      <x:c r="AN48" s="25" t="str">
        <x:v>gas_phase_noncondensing</x:v>
      </x:c>
      <x:c r="AO48" s="25" t="str">
        <x:v>deviation_valve_area_saturated</x:v>
      </x:c>
      <x:c r="AP48" s="25" t="str">
        <x:v>requires_cegr_tracking_review</x:v>
      </x:c>
      <x:c r="AQ48" s="25" t="str"/>
      <x:c r="AR48" s="34" t="n">
        <x:f>MAX(0,AE48-1)*100</x:f>
        <x:v>0</x:v>
      </x:c>
      <x:c r="AS48" s="34" t="n">
        <x:f>AF48*1000000</x:f>
        <x:v>0</x:v>
      </x:c>
      <x:c r="AT48" s="34" t="n">
        <x:f>AG48*1000000</x:f>
        <x:v>0</x:v>
      </x:c>
      <x:c r="AU48" s="34" t="n">
        <x:f>(Z48-Y48)*1000</x:f>
        <x:v>3.145425586659201e-8</x:v>
      </x:c>
    </x:row>
    <x:row r="49" ht="18" customHeight="1">
      <x:c r="A49" s="25" t="str">
        <x:v>新鲜空气不变</x:v>
      </x:c>
      <x:c r="B49" s="25" t="str">
        <x:v>external240_fresh_air_fixed_j0p4_R8p000</x:v>
      </x:c>
      <x:c r="C49" s="33" t="b">
        <x:v>1</x:v>
      </x:c>
      <x:c r="D49" s="33" t="b">
        <x:v>0</x:v>
      </x:c>
      <x:c r="E49" s="34" t="n">
        <x:v>0.4</x:v>
      </x:c>
      <x:c r="F49" s="34" t="n">
        <x:v>2.4</x:v>
      </x:c>
      <x:c r="G49" s="34" t="n">
        <x:v>8</x:v>
      </x:c>
      <x:c r="H49" s="34" t="n">
        <x:v>0.9132901663282195</x:v>
      </x:c>
      <x:c r="I49" s="34" t="n">
        <x:v>-7.08670983367178</x:v>
      </x:c>
      <x:c r="J49" s="34" t="n">
        <x:v>0.4</x:v>
      </x:c>
      <x:c r="K49" s="34" t="n">
        <x:v>0.8888888888888888</x:v>
      </x:c>
      <x:c r="L49" s="34" t="n">
        <x:v>0.4773401245671521</x:v>
      </x:c>
      <x:c r="M49" s="34" t="n">
        <x:v>0.479879603271129</x:v>
      </x:c>
      <x:c r="N49" s="34" t="n">
        <x:v>0.07154026815982818</x:v>
      </x:c>
      <x:c r="O49" s="34" t="n">
        <x:v>3.6889574585854112</x:v>
      </x:c>
      <x:c r="P49" s="34" t="n">
        <x:v>3.68895745858541</x:v>
      </x:c>
      <x:c r="Q49" s="34" t="str">
        <x:v>feasible_above_1p2</x:v>
      </x:c>
      <x:c r="R49" s="34" t="n">
        <x:v>0.7582962862984796</x:v>
      </x:c>
      <x:c r="S49" s="34" t="n">
        <x:v>1</x:v>
      </x:c>
      <x:c r="T49" s="34" t="n">
        <x:v>0.003775408811799527</x:v>
      </x:c>
      <x:c r="U49" s="34" t="n">
        <x:v>0.10132500000000001</x:v>
      </x:c>
      <x:c r="V49" s="34" t="n">
        <x:v>0.18743305350388034</x:v>
      </x:c>
      <x:c r="W49" s="34" t="n">
        <x:v>0.1867583093826572</x:v>
      </x:c>
      <x:c r="X49" s="34" t="n">
        <x:v>0.1867583093826573</x:v>
      </x:c>
      <x:c r="Y49" s="34" t="n">
        <x:v>0.171325</x:v>
      </x:c>
      <x:c r="Z49" s="34" t="n">
        <x:v>0.17132500000000003</x:v>
      </x:c>
      <x:c r="AA49" s="25" t="n">
        <x:v>0.5677065438790732</x:v>
      </x:c>
      <x:c r="AB49" s="25" t="n">
        <x:v>16594.155309447422</x:v>
      </x:c>
      <x:c r="AC49" s="25" t="n">
        <x:v>42.84647415319375</x:v>
      </x:c>
      <x:c r="AD49" s="25" t="n">
        <x:v>1.3625707745977707</x:v>
      </x:c>
      <x:c r="AE49" s="25" t="n">
        <x:v>0.9309680486990785</x:v>
      </x:c>
      <x:c r="AF49" s="25" t="n">
        <x:v>0</x:v>
      </x:c>
      <x:c r="AG49" s="25" t="n">
        <x:v>0</x:v>
      </x:c>
      <x:c r="AH49" s="25" t="str">
        <x:v>near_saturation_risk</x:v>
      </x:c>
      <x:c r="AI49" s="25" t="n">
        <x:v>0.99958090102136</x:v>
      </x:c>
      <x:c r="AJ49" s="25" t="n">
        <x:v>0.00009196758430428448</x:v>
      </x:c>
      <x:c r="AK49" s="25" t="str">
        <x:v>condensing_or_supersaturated</x:v>
      </x:c>
      <x:c r="AL49" s="25" t="n">
        <x:v>0.5530494943703667</x:v>
      </x:c>
      <x:c r="AM49" s="25" t="n">
        <x:v>0</x:v>
      </x:c>
      <x:c r="AN49" s="25" t="str">
        <x:v>gas_phase_noncondensing</x:v>
      </x:c>
      <x:c r="AO49" s="25" t="str">
        <x:v>deviation_valve_area_saturated</x:v>
      </x:c>
      <x:c r="AP49" s="25" t="str">
        <x:v>requires_cegr_tracking_review</x:v>
      </x:c>
      <x:c r="AQ49" s="25" t="str"/>
      <x:c r="AR49" s="34" t="n">
        <x:f>MAX(0,AE49-1)*100</x:f>
        <x:v>0</x:v>
      </x:c>
      <x:c r="AS49" s="34" t="n">
        <x:f>AF49*1000000</x:f>
        <x:v>0</x:v>
      </x:c>
      <x:c r="AT49" s="34" t="n">
        <x:f>AG49*1000000</x:f>
        <x:v>0</x:v>
      </x:c>
      <x:c r="AU49" s="34" t="n">
        <x:f>(Z49-Y49)*1000</x:f>
        <x:v>2.7755575615628914e-14</x:v>
      </x:c>
    </x:row>
    <x:row r="50" ht="18" customHeight="1">
      <x:c r="A50" s="25" t="str">
        <x:v>新鲜空气不变</x:v>
      </x:c>
      <x:c r="B50" s="25" t="str">
        <x:v>external240_fresh_air_fixed_j1p0_R0p000</x:v>
      </x:c>
      <x:c r="C50" s="33" t="b">
        <x:v>1</x:v>
      </x:c>
      <x:c r="D50" s="33" t="b">
        <x:v>1</x:v>
      </x:c>
      <x:c r="E50" s="34" t="n">
        <x:v>1</x:v>
      </x:c>
      <x:c r="F50" s="34" t="n">
        <x:v>1.8</x:v>
      </x:c>
      <x:c r="G50" s="34" t="n">
        <x:v>0</x:v>
      </x:c>
      <x:c r="H50" s="34" t="n">
        <x:v>0</x:v>
      </x:c>
      <x:c r="I50" s="34" t="n">
        <x:v>0</x:v>
      </x:c>
      <x:c r="J50" s="34" t="n">
        <x:v>0.005</x:v>
      </x:c>
      <x:c r="K50" s="34" t="n">
        <x:v>0</x:v>
      </x:c>
      <x:c r="L50" s="34" t="n">
        <x:v>0</x:v>
      </x:c>
      <x:c r="M50" s="34" t="n">
        <x:v>0</x:v>
      </x:c>
      <x:c r="N50" s="34" t="n">
        <x:v>0</x:v>
      </x:c>
      <x:c r="O50" s="34" t="n">
        <x:v>1.798936215559047</x:v>
      </x:c>
      <x:c r="P50" s="34" t="n">
        <x:v>1.7989362155590336</x:v>
      </x:c>
      <x:c r="Q50" s="34" t="str">
        <x:v>feasible_above_1p2</x:v>
      </x:c>
      <x:c r="R50" s="34" t="n">
        <x:v>0.7090733531220862</x:v>
      </x:c>
      <x:c r="S50" s="34" t="n">
        <x:v>9.999999999999998e-8</x:v>
      </x:c>
      <x:c r="T50" s="34" t="n">
        <x:v>0</x:v>
      </x:c>
      <x:c r="U50" s="34" t="n">
        <x:v>0.10132500000000001</x:v>
      </x:c>
      <x:c r="V50" s="34" t="n">
        <x:v>0.24720534484139572</x:v>
      </x:c>
      <x:c r="W50" s="34" t="n">
        <x:v>0.2465573373283187</x:v>
      </x:c>
      <x:c r="X50" s="34" t="n">
        <x:v>0.24655733732831872</x:v>
      </x:c>
      <x:c r="Y50" s="34" t="n">
        <x:v>0.231325</x:v>
      </x:c>
      <x:c r="Z50" s="34" t="n">
        <x:v>0.231325</x:v>
      </x:c>
      <x:c r="AA50" s="25" t="n">
        <x:v>0.07234698050021676</x:v>
      </x:c>
      <x:c r="AB50" s="25" t="n">
        <x:v>21278.249999999996</x:v>
      </x:c>
      <x:c r="AC50" s="25" t="n">
        <x:v>19.627693727286214</x:v>
      </x:c>
      <x:c r="AD50" s="25" t="n">
        <x:v>10.356732575436357</x:v>
      </x:c>
      <x:c r="AE50" s="25" t="n">
        <x:v>0.5116810031542075</x:v>
      </x:c>
      <x:c r="AF50" s="25" t="n">
        <x:v>0</x:v>
      </x:c>
      <x:c r="AG50" s="25" t="n">
        <x:v>0</x:v>
      </x:c>
      <x:c r="AH50" s="25" t="str">
        <x:v>gas_phase_noncondensing</x:v>
      </x:c>
      <x:c r="AI50" s="25" t="n">
        <x:v>1.0000399003636145</x:v>
      </x:c>
      <x:c r="AJ50" s="25" t="n">
        <x:v>0.00047390176389457204</x:v>
      </x:c>
      <x:c r="AK50" s="25" t="str">
        <x:v>condensing_or_supersaturated</x:v>
      </x:c>
      <x:c r="AL50" s="25" t="n">
        <x:v>0.5016448019651035</x:v>
      </x:c>
      <x:c r="AM50" s="25" t="n">
        <x:v>0</x:v>
      </x:c>
      <x:c r="AN50" s="25" t="str">
        <x:v>gas_phase_noncondensing</x:v>
      </x:c>
      <x:c r="AO50" s="25" t="str">
        <x:v>not_applicable_zero_target</x:v>
      </x:c>
      <x:c r="AP50" s="25" t="str">
        <x:v>candidate_feasible_gas_phase_screen</x:v>
      </x:c>
      <x:c r="AQ50" s="25" t="str"/>
      <x:c r="AR50" s="34" t="n">
        <x:f>MAX(0,AE50-1)*100</x:f>
        <x:v>0</x:v>
      </x:c>
      <x:c r="AS50" s="34" t="n">
        <x:f>AF50*1000000</x:f>
        <x:v>0</x:v>
      </x:c>
      <x:c r="AT50" s="34" t="n">
        <x:f>AG50*1000000</x:f>
        <x:v>0</x:v>
      </x:c>
      <x:c r="AU50" s="34" t="n">
        <x:f>(Z50-Y50)*1000</x:f>
        <x:v>0</x:v>
      </x:c>
    </x:row>
    <x:row r="51" ht="18" customHeight="1">
      <x:c r="A51" s="25" t="str">
        <x:v>新鲜空气不变</x:v>
      </x:c>
      <x:c r="B51" s="25" t="str">
        <x:v>external240_fresh_air_fixed_j1p0_R0p100</x:v>
      </x:c>
      <x:c r="C51" s="33" t="b">
        <x:v>1</x:v>
      </x:c>
      <x:c r="D51" s="33" t="b">
        <x:v>1</x:v>
      </x:c>
      <x:c r="E51" s="34" t="n">
        <x:v>1</x:v>
      </x:c>
      <x:c r="F51" s="34" t="n">
        <x:v>1.8</x:v>
      </x:c>
      <x:c r="G51" s="34" t="n">
        <x:v>0.1</x:v>
      </x:c>
      <x:c r="H51" s="34" t="n">
        <x:v>0.09997104579842064</x:v>
      </x:c>
      <x:c r="I51" s="34" t="n">
        <x:v>-0.000028954201579362016</x:v>
      </x:c>
      <x:c r="J51" s="34" t="n">
        <x:v>0.005000000000000001</x:v>
      </x:c>
      <x:c r="K51" s="34" t="n">
        <x:v>0.09090909090909091</x:v>
      </x:c>
      <x:c r="L51" s="34" t="n">
        <x:v>0.09088516114239717</x:v>
      </x:c>
      <x:c r="M51" s="34" t="n">
        <x:v>0.09051627566811851</x:v>
      </x:c>
      <x:c r="N51" s="34" t="n">
        <x:v>0.014683075705405883</x:v>
      </x:c>
      <x:c r="O51" s="34" t="n">
        <x:v>1.8784487679535877</x:v>
      </x:c>
      <x:c r="P51" s="34" t="n">
        <x:v>1.878436096016308</x:v>
      </x:c>
      <x:c r="Q51" s="34" t="str">
        <x:v>feasible_above_1p2</x:v>
      </x:c>
      <x:c r="R51" s="34" t="n">
        <x:v>0.7090451964022891</x:v>
      </x:c>
      <x:c r="S51" s="34" t="n">
        <x:v>0.20870783542165602</x:v>
      </x:c>
      <x:c r="T51" s="34" t="n">
        <x:v>0.005944659970873319</x:v>
      </x:c>
      <x:c r="U51" s="34" t="n">
        <x:v>0.10132500000000001</x:v>
      </x:c>
      <x:c r="V51" s="34" t="n">
        <x:v>0.24937270578330034</x:v>
      </x:c>
      <x:c r="W51" s="34" t="n">
        <x:v>0.24858865940276198</x:v>
      </x:c>
      <x:c r="X51" s="34" t="n">
        <x:v>0.24858865940276204</x:v>
      </x:c>
      <x:c r="Y51" s="34" t="n">
        <x:v>0.231325</x:v>
      </x:c>
      <x:c r="Z51" s="34" t="n">
        <x:v>0.23132510165932768</x:v>
      </x:c>
      <x:c r="AA51" s="25" t="n">
        <x:v>0.19512427205620775</x:v>
      </x:c>
      <x:c r="AB51" s="25" t="n">
        <x:v>20028.196435901373</x:v>
      </x:c>
      <x:c r="AC51" s="25" t="n">
        <x:v>25.56139435701897</x:v>
      </x:c>
      <x:c r="AD51" s="25" t="n">
        <x:v>0.71811005667697</x:v>
      </x:c>
      <x:c r="AE51" s="25" t="n">
        <x:v>0.9581562852501854</x:v>
      </x:c>
      <x:c r="AF51" s="25" t="n">
        <x:v>0</x:v>
      </x:c>
      <x:c r="AG51" s="25" t="n">
        <x:v>0</x:v>
      </x:c>
      <x:c r="AH51" s="25" t="str">
        <x:v>near_saturation_risk</x:v>
      </x:c>
      <x:c r="AI51" s="25" t="n">
        <x:v>1.0000565843427376</x:v>
      </x:c>
      <x:c r="AJ51" s="25" t="n">
        <x:v>0.0005303315959924725</x:v>
      </x:c>
      <x:c r="AK51" s="25" t="str">
        <x:v>condensing_or_supersaturated</x:v>
      </x:c>
      <x:c r="AL51" s="25" t="n">
        <x:v>0.44930019404259625</x:v>
      </x:c>
      <x:c r="AM51" s="25" t="n">
        <x:v>0</x:v>
      </x:c>
      <x:c r="AN51" s="25" t="str">
        <x:v>gas_phase_noncondensing</x:v>
      </x:c>
      <x:c r="AO51" s="25" t="str">
        <x:v>within_control_tolerance</x:v>
      </x:c>
      <x:c r="AP51" s="25" t="str">
        <x:v>risk_review_required</x:v>
      </x:c>
      <x:c r="AQ51" s="25" t="str"/>
      <x:c r="AR51" s="34" t="n">
        <x:f>MAX(0,AE51-1)*100</x:f>
        <x:v>0</x:v>
      </x:c>
      <x:c r="AS51" s="34" t="n">
        <x:f>AF51*1000000</x:f>
        <x:v>0</x:v>
      </x:c>
      <x:c r="AT51" s="34" t="n">
        <x:f>AG51*1000000</x:f>
        <x:v>0</x:v>
      </x:c>
      <x:c r="AU51" s="34" t="n">
        <x:f>(Z51-Y51)*1000</x:f>
        <x:v>0.00010165932767813857</x:v>
      </x:c>
    </x:row>
    <x:row r="52" ht="18" customHeight="1">
      <x:c r="A52" s="25" t="str">
        <x:v>新鲜空气不变</x:v>
      </x:c>
      <x:c r="B52" s="25" t="str">
        <x:v>external240_fresh_air_fixed_j1p0_R0p500</x:v>
      </x:c>
      <x:c r="C52" s="33" t="b">
        <x:v>1</x:v>
      </x:c>
      <x:c r="D52" s="33" t="b">
        <x:v>1</x:v>
      </x:c>
      <x:c r="E52" s="34" t="n">
        <x:v>1</x:v>
      </x:c>
      <x:c r="F52" s="34" t="n">
        <x:v>1.8</x:v>
      </x:c>
      <x:c r="G52" s="34" t="n">
        <x:v>0.5</x:v>
      </x:c>
      <x:c r="H52" s="34" t="n">
        <x:v>0.49892572711411076</x:v>
      </x:c>
      <x:c r="I52" s="34" t="n">
        <x:v>-0.001074272885889238</x:v>
      </x:c>
      <x:c r="J52" s="34" t="n">
        <x:v>0.025</x:v>
      </x:c>
      <x:c r="K52" s="34" t="n">
        <x:v>0.3333333333333333</x:v>
      </x:c>
      <x:c r="L52" s="34" t="n">
        <x:v>0.3328555226542566</x:v>
      </x:c>
      <x:c r="M52" s="34" t="n">
        <x:v>0.33224134925166526</x:v>
      </x:c>
      <x:c r="N52" s="34" t="n">
        <x:v>0.07327816714541044</x:v>
      </x:c>
      <x:c r="O52" s="34" t="n">
        <x:v>2.1964295551550554</x:v>
      </x:c>
      <x:c r="P52" s="34" t="n">
        <x:v>2.1960913542816503</x:v>
      </x:c>
      <x:c r="Q52" s="34" t="str">
        <x:v>feasible_above_1p2</x:v>
      </x:c>
      <x:c r="R52" s="34" t="n">
        <x:v>0.7089272341576601</x:v>
      </x:c>
      <x:c r="S52" s="34" t="n">
        <x:v>0.8817168423571318</x:v>
      </x:c>
      <x:c r="T52" s="34" t="n">
        <x:v>0.005904203349028314</x:v>
      </x:c>
      <x:c r="U52" s="34" t="n">
        <x:v>0.10132500000000001</x:v>
      </x:c>
      <x:c r="V52" s="34" t="n">
        <x:v>0.2594795001727575</x:v>
      </x:c>
      <x:c r="W52" s="34" t="n">
        <x:v>0.2580236033178643</x:v>
      </x:c>
      <x:c r="X52" s="34" t="n">
        <x:v>0.25802360331786434</x:v>
      </x:c>
      <x:c r="Y52" s="34" t="n">
        <x:v>0.231325</x:v>
      </x:c>
      <x:c r="Z52" s="34" t="n">
        <x:v>0.23132784302989975</x:v>
      </x:c>
      <x:c r="AA52" s="25" t="n">
        <x:v>0.5174164287721916</x:v>
      </x:c>
      <x:c r="AB52" s="25" t="n">
        <x:v>16812.671706067904</x:v>
      </x:c>
      <x:c r="AC52" s="25" t="n">
        <x:v>40.94890602725536</x:v>
      </x:c>
      <x:c r="AD52" s="25" t="n">
        <x:v>-0.928600710449075</x:v>
      </x:c>
      <x:c r="AE52" s="25" t="n">
        <x:v>1.0502503083638788</x:v>
      </x:c>
      <x:c r="AF52" s="25" t="n">
        <x:v>2.7916435867106736e-7</x:v>
      </x:c>
      <x:c r="AG52" s="25" t="n">
        <x:v>0.000016749861520264042</x:v>
      </x:c>
      <x:c r="AH52" s="25" t="str">
        <x:v>condensing_or_supersaturated</x:v>
      </x:c>
      <x:c r="AI52" s="25" t="n">
        <x:v>1.000184816888476</x:v>
      </x:c>
      <x:c r="AJ52" s="25" t="n">
        <x:v>0.0007716704010491615</x:v>
      </x:c>
      <x:c r="AK52" s="25" t="str">
        <x:v>condensing_or_supersaturated</x:v>
      </x:c>
      <x:c r="AL52" s="25" t="n">
        <x:v>0.42301269451797524</x:v>
      </x:c>
      <x:c r="AM52" s="25" t="n">
        <x:v>0</x:v>
      </x:c>
      <x:c r="AN52" s="25" t="str">
        <x:v>gas_phase_noncondensing</x:v>
      </x:c>
      <x:c r="AO52" s="25" t="str">
        <x:v>within_control_tolerance</x:v>
      </x:c>
      <x:c r="AP52" s="25" t="str">
        <x:v>not_acceptable_mixer_condensation</x:v>
      </x:c>
      <x:c r="AQ52" s="25" t="str"/>
      <x:c r="AR52" s="34" t="n">
        <x:f>MAX(0,AE52-1)*100</x:f>
        <x:v>5.025030836387878</x:v>
      </x:c>
      <x:c r="AS52" s="34" t="n">
        <x:f>AF52*1000000</x:f>
        <x:v>0.27916435867106737</x:v>
      </x:c>
      <x:c r="AT52" s="34" t="n">
        <x:f>AG52*1000000</x:f>
        <x:v>16.74986152026404</x:v>
      </x:c>
      <x:c r="AU52" s="34" t="n">
        <x:f>(Z52-Y52)*1000</x:f>
        <x:v>0.0028430298997517145</x:v>
      </x:c>
    </x:row>
    <x:row r="53" ht="18" customHeight="1">
      <x:c r="A53" s="25" t="str">
        <x:v>新鲜空气不变</x:v>
      </x:c>
      <x:c r="B53" s="25" t="str">
        <x:v>external240_fresh_air_fixed_j1p0_R1p000</x:v>
      </x:c>
      <x:c r="C53" s="33" t="b">
        <x:v>1</x:v>
      </x:c>
      <x:c r="D53" s="33" t="b">
        <x:v>0</x:v>
      </x:c>
      <x:c r="E53" s="34" t="n">
        <x:v>1</x:v>
      </x:c>
      <x:c r="F53" s="34" t="n">
        <x:v>1.8</x:v>
      </x:c>
      <x:c r="G53" s="34" t="n">
        <x:v>1</x:v>
      </x:c>
      <x:c r="H53" s="34" t="n">
        <x:v>0.5837013637953853</x:v>
      </x:c>
      <x:c r="I53" s="34" t="n">
        <x:v>-0.4162986362046147</x:v>
      </x:c>
      <x:c r="J53" s="34" t="n">
        <x:v>0.05</x:v>
      </x:c>
      <x:c r="K53" s="34" t="n">
        <x:v>0.5</x:v>
      </x:c>
      <x:c r="L53" s="34" t="n">
        <x:v>0.3685678229110875</x:v>
      </x:c>
      <x:c r="M53" s="34" t="n">
        <x:v>0.3680208037642644</x:v>
      </x:c>
      <x:c r="N53" s="34" t="n">
        <x:v>0.08573018527697893</x:v>
      </x:c>
      <x:c r="O53" s="34" t="n">
        <x:v>2.2641833909183773</x:v>
      </x:c>
      <x:c r="P53" s="34" t="n">
        <x:v>2.264183390918377</x:v>
      </x:c>
      <x:c r="Q53" s="34" t="str">
        <x:v>feasible_above_1p2</x:v>
      </x:c>
      <x:c r="R53" s="34" t="n">
        <x:v>0.7089027486839846</x:v>
      </x:c>
      <x:c r="S53" s="34" t="n">
        <x:v>1</x:v>
      </x:c>
      <x:c r="T53" s="34" t="n">
        <x:v>0.0058913233823051974</x:v>
      </x:c>
      <x:c r="U53" s="34" t="n">
        <x:v>0.10132500000000001</x:v>
      </x:c>
      <x:c r="V53" s="34" t="n">
        <x:v>0.261940494988469</x:v>
      </x:c>
      <x:c r="W53" s="34" t="n">
        <x:v>0.26031522462883566</x:v>
      </x:c>
      <x:c r="X53" s="34" t="n">
        <x:v>0.2603152246288357</x:v>
      </x:c>
      <x:c r="Y53" s="34" t="n">
        <x:v>0.231325</x:v>
      </x:c>
      <x:c r="Z53" s="34" t="n">
        <x:v>0.23132500000000006</x:v>
      </x:c>
      <x:c r="AA53" s="25" t="n">
        <x:v>0.5650928778703369</x:v>
      </x:c>
      <x:c r="AB53" s="25" t="n">
        <x:v>16349.888388394027</x:v>
      </x:c>
      <x:c r="AC53" s="25" t="n">
        <x:v>43.12979550777709</x:v>
      </x:c>
      <x:c r="AD53" s="25" t="n">
        <x:v>-0.33499469442270424</x:v>
      </x:c>
      <x:c r="AE53" s="25" t="n">
        <x:v>1.0175959731612767</x:v>
      </x:c>
      <x:c r="AF53" s="25" t="n">
        <x:v>1.1333795697024087e-7</x:v>
      </x:c>
      <x:c r="AG53" s="25" t="n">
        <x:v>0.000006800277418214452</x:v>
      </x:c>
      <x:c r="AH53" s="25" t="str">
        <x:v>condensing_or_supersaturated</x:v>
      </x:c>
      <x:c r="AI53" s="25" t="n">
        <x:v>1.000230522531475</x:v>
      </x:c>
      <x:c r="AJ53" s="25" t="n">
        <x:v>0.0008269161761770268</x:v>
      </x:c>
      <x:c r="AK53" s="25" t="str">
        <x:v>condensing_or_supersaturated</x:v>
      </x:c>
      <x:c r="AL53" s="25" t="n">
        <x:v>0.4182711230312947</x:v>
      </x:c>
      <x:c r="AM53" s="25" t="n">
        <x:v>0</x:v>
      </x:c>
      <x:c r="AN53" s="25" t="str">
        <x:v>gas_phase_noncondensing</x:v>
      </x:c>
      <x:c r="AO53" s="25" t="str">
        <x:v>deviation_valve_area_saturated</x:v>
      </x:c>
      <x:c r="AP53" s="25" t="str">
        <x:v>not_acceptable_mixer_condensation</x:v>
      </x:c>
      <x:c r="AQ53" s="25" t="str"/>
      <x:c r="AR53" s="34" t="n">
        <x:f>MAX(0,AE53-1)*100</x:f>
        <x:v>1.7595973161276701</x:v>
      </x:c>
      <x:c r="AS53" s="34" t="n">
        <x:f>AF53*1000000</x:f>
        <x:v>0.11333795697024086</x:v>
      </x:c>
      <x:c r="AT53" s="34" t="n">
        <x:f>AG53*1000000</x:f>
        <x:v>6.800277418214452</x:v>
      </x:c>
      <x:c r="AU53" s="34" t="n">
        <x:f>(Z53-Y53)*1000</x:f>
        <x:v>5.551115123125783e-14</x:v>
      </x:c>
    </x:row>
    <x:row r="54" ht="18" customHeight="1">
      <x:c r="A54" s="25" t="str">
        <x:v>新鲜空气不变</x:v>
      </x:c>
      <x:c r="B54" s="25" t="str">
        <x:v>external240_fresh_air_fixed_j1p0_R2p000</x:v>
      </x:c>
      <x:c r="C54" s="33" t="b">
        <x:v>1</x:v>
      </x:c>
      <x:c r="D54" s="33" t="b">
        <x:v>0</x:v>
      </x:c>
      <x:c r="E54" s="34" t="n">
        <x:v>1</x:v>
      </x:c>
      <x:c r="F54" s="34" t="n">
        <x:v>1.8</x:v>
      </x:c>
      <x:c r="G54" s="34" t="n">
        <x:v>2</x:v>
      </x:c>
      <x:c r="H54" s="34" t="n">
        <x:v>0.5837013450673519</x:v>
      </x:c>
      <x:c r="I54" s="34" t="n">
        <x:v>-1.416298654932648</x:v>
      </x:c>
      <x:c r="J54" s="34" t="n">
        <x:v>0.1</x:v>
      </x:c>
      <x:c r="K54" s="34" t="n">
        <x:v>0.6666666666666666</x:v>
      </x:c>
      <x:c r="L54" s="34" t="n">
        <x:v>0.368567815444097</x:v>
      </x:c>
      <x:c r="M54" s="34" t="n">
        <x:v>0.36802079587964454</x:v>
      </x:c>
      <x:c r="N54" s="34" t="n">
        <x:v>0.08573018252632959</x:v>
      </x:c>
      <x:c r="O54" s="34" t="n">
        <x:v>2.26418337516174</x:v>
      </x:c>
      <x:c r="P54" s="34" t="n">
        <x:v>2.264183375161739</x:v>
      </x:c>
      <x:c r="Q54" s="34" t="str">
        <x:v>feasible_above_1p2</x:v>
      </x:c>
      <x:c r="R54" s="34" t="n">
        <x:v>0.7089027485298683</x:v>
      </x:c>
      <x:c r="S54" s="34" t="n">
        <x:v>1</x:v>
      </x:c>
      <x:c r="T54" s="34" t="n">
        <x:v>0.005891322996969142</x:v>
      </x:c>
      <x:c r="U54" s="34" t="n">
        <x:v>0.10132500000000001</x:v>
      </x:c>
      <x:c r="V54" s="34" t="n">
        <x:v>0.2619404944797588</x:v>
      </x:c>
      <x:c r="W54" s="34" t="n">
        <x:v>0.26031522415856456</x:v>
      </x:c>
      <x:c r="X54" s="34" t="n">
        <x:v>0.2603152241585647</x:v>
      </x:c>
      <x:c r="Y54" s="34" t="n">
        <x:v>0.231325</x:v>
      </x:c>
      <x:c r="Z54" s="34" t="n">
        <x:v>0.23132500000000003</x:v>
      </x:c>
      <x:c r="AA54" s="25" t="n">
        <x:v>0.565092811657484</x:v>
      </x:c>
      <x:c r="AB54" s="25" t="n">
        <x:v>16349.88833555883</x:v>
      </x:c>
      <x:c r="AC54" s="25" t="n">
        <x:v>43.129792746823625</x:v>
      </x:c>
      <x:c r="AD54" s="25" t="n">
        <x:v>-0.3349971515858101</x:v>
      </x:c>
      <x:c r="AE54" s="25" t="n">
        <x:v>1.0175961035514351</x:v>
      </x:c>
      <x:c r="AF54" s="25" t="n">
        <x:v>1.1333875204051402e-7</x:v>
      </x:c>
      <x:c r="AG54" s="25" t="n">
        <x:v>0.000006800325122430841</x:v>
      </x:c>
      <x:c r="AH54" s="25" t="str">
        <x:v>condensing_or_supersaturated</x:v>
      </x:c>
      <x:c r="AI54" s="25" t="n">
        <x:v>1.0002305224784822</x:v>
      </x:c>
      <x:c r="AJ54" s="25" t="n">
        <x:v>0.0008269159101858132</x:v>
      </x:c>
      <x:c r="AK54" s="25" t="str">
        <x:v>condensing_or_supersaturated</x:v>
      </x:c>
      <x:c r="AL54" s="25" t="n">
        <x:v>0.41827125382282976</x:v>
      </x:c>
      <x:c r="AM54" s="25" t="n">
        <x:v>0</x:v>
      </x:c>
      <x:c r="AN54" s="25" t="str">
        <x:v>gas_phase_noncondensing</x:v>
      </x:c>
      <x:c r="AO54" s="25" t="str">
        <x:v>deviation_valve_area_saturated</x:v>
      </x:c>
      <x:c r="AP54" s="25" t="str">
        <x:v>not_acceptable_mixer_condensation</x:v>
      </x:c>
      <x:c r="AQ54" s="25" t="str"/>
      <x:c r="AR54" s="34" t="n">
        <x:f>MAX(0,AE54-1)*100</x:f>
        <x:v>1.759610355143515</x:v>
      </x:c>
      <x:c r="AS54" s="34" t="n">
        <x:f>AF54*1000000</x:f>
        <x:v>0.11333875204051401</x:v>
      </x:c>
      <x:c r="AT54" s="34" t="n">
        <x:f>AG54*1000000</x:f>
        <x:v>6.800325122430841</x:v>
      </x:c>
      <x:c r="AU54" s="34" t="n">
        <x:f>(Z54-Y54)*1000</x:f>
        <x:v>2.7755575615628914e-14</x:v>
      </x:c>
    </x:row>
    <x:row r="55" ht="18" customHeight="1">
      <x:c r="A55" s="25" t="str">
        <x:v>新鲜空气不变</x:v>
      </x:c>
      <x:c r="B55" s="25" t="str">
        <x:v>external240_fresh_air_fixed_j1p0_R4p000</x:v>
      </x:c>
      <x:c r="C55" s="33" t="b">
        <x:v>1</x:v>
      </x:c>
      <x:c r="D55" s="33" t="b">
        <x:v>0</x:v>
      </x:c>
      <x:c r="E55" s="34" t="n">
        <x:v>1</x:v>
      </x:c>
      <x:c r="F55" s="34" t="n">
        <x:v>1.8</x:v>
      </x:c>
      <x:c r="G55" s="34" t="n">
        <x:v>4</x:v>
      </x:c>
      <x:c r="H55" s="34" t="n">
        <x:v>0.5837013084870363</x:v>
      </x:c>
      <x:c r="I55" s="34" t="n">
        <x:v>-3.4162986915129636</x:v>
      </x:c>
      <x:c r="J55" s="34" t="n">
        <x:v>0.2</x:v>
      </x:c>
      <x:c r="K55" s="34" t="n">
        <x:v>0.8</x:v>
      </x:c>
      <x:c r="L55" s="34" t="n">
        <x:v>0.3685678008592833</x:v>
      </x:c>
      <x:c r="M55" s="34" t="n">
        <x:v>0.36802092653428026</x:v>
      </x:c>
      <x:c r="N55" s="34" t="n">
        <x:v>0.08573017715365543</x:v>
      </x:c>
      <x:c r="O55" s="34" t="n">
        <x:v>2.2641830671644017</x:v>
      </x:c>
      <x:c r="P55" s="34" t="n">
        <x:v>2.2641830671644008</x:v>
      </x:c>
      <x:c r="Q55" s="34" t="str">
        <x:v>feasible_above_1p2</x:v>
      </x:c>
      <x:c r="R55" s="34" t="n">
        <x:v>0.7089027841714652</x:v>
      </x:c>
      <x:c r="S55" s="34" t="n">
        <x:v>1</x:v>
      </x:c>
      <x:c r="T55" s="34" t="n">
        <x:v>0.005891320173917622</x:v>
      </x:c>
      <x:c r="U55" s="34" t="n">
        <x:v>0.10132500000000001</x:v>
      </x:c>
      <x:c r="V55" s="34" t="n">
        <x:v>0.26194047597911135</x:v>
      </x:c>
      <x:c r="W55" s="34" t="n">
        <x:v>0.26031520573299805</x:v>
      </x:c>
      <x:c r="X55" s="34" t="n">
        <x:v>0.26031520573299805</x:v>
      </x:c>
      <x:c r="Y55" s="34" t="n">
        <x:v>0.231325</x:v>
      </x:c>
      <x:c r="Z55" s="34" t="n">
        <x:v>0.23132500000000006</x:v>
      </x:c>
      <x:c r="AA55" s="25" t="n">
        <x:v>0.565114124795988</x:v>
      </x:c>
      <x:c r="AB55" s="25" t="n">
        <x:v>16355.45978533121</x:v>
      </x:c>
      <x:c r="AC55" s="25" t="n">
        <x:v>43.2268103639376</x:v>
      </x:c>
      <x:c r="AD55" s="25" t="n">
        <x:v>-0.24453282156036948</x:v>
      </x:c>
      <x:c r="AE55" s="25" t="n">
        <x:v>1.0128092605478445</x:v>
      </x:c>
      <x:c r="AF55" s="25" t="n">
        <x:v>8.396146187313923e-8</x:v>
      </x:c>
      <x:c r="AG55" s="25" t="n">
        <x:v>0.000005037687712388354</x:v>
      </x:c>
      <x:c r="AH55" s="25" t="str">
        <x:v>condensing_or_supersaturated</x:v>
      </x:c>
      <x:c r="AI55" s="25" t="n">
        <x:v>1.000230543314922</x:v>
      </x:c>
      <x:c r="AJ55" s="25" t="n">
        <x:v>0.000827007700619028</x:v>
      </x:c>
      <x:c r="AK55" s="25" t="str">
        <x:v>condensing_or_supersaturated</x:v>
      </x:c>
      <x:c r="AL55" s="25" t="n">
        <x:v>0.4182587706746481</x:v>
      </x:c>
      <x:c r="AM55" s="25" t="n">
        <x:v>0</x:v>
      </x:c>
      <x:c r="AN55" s="25" t="str">
        <x:v>gas_phase_noncondensing</x:v>
      </x:c>
      <x:c r="AO55" s="25" t="str">
        <x:v>deviation_valve_area_saturated</x:v>
      </x:c>
      <x:c r="AP55" s="25" t="str">
        <x:v>not_acceptable_mixer_condensation</x:v>
      </x:c>
      <x:c r="AQ55" s="25" t="str"/>
      <x:c r="AR55" s="34" t="n">
        <x:f>MAX(0,AE55-1)*100</x:f>
        <x:v>1.280926054784448</x:v>
      </x:c>
      <x:c r="AS55" s="34" t="n">
        <x:f>AF55*1000000</x:f>
        <x:v>0.08396146187313923</x:v>
      </x:c>
      <x:c r="AT55" s="34" t="n">
        <x:f>AG55*1000000</x:f>
        <x:v>5.037687712388354</x:v>
      </x:c>
      <x:c r="AU55" s="34" t="n">
        <x:f>(Z55-Y55)*1000</x:f>
        <x:v>5.551115123125783e-14</x:v>
      </x:c>
    </x:row>
    <x:row r="56" ht="18" customHeight="1">
      <x:c r="A56" s="25" t="str">
        <x:v>新鲜空气不变</x:v>
      </x:c>
      <x:c r="B56" s="25" t="str">
        <x:v>external240_fresh_air_fixed_j1p0_R8p000</x:v>
      </x:c>
      <x:c r="C56" s="33" t="b">
        <x:v>1</x:v>
      </x:c>
      <x:c r="D56" s="33" t="b">
        <x:v>0</x:v>
      </x:c>
      <x:c r="E56" s="34" t="n">
        <x:v>1</x:v>
      </x:c>
      <x:c r="F56" s="34" t="n">
        <x:v>1.8</x:v>
      </x:c>
      <x:c r="G56" s="34" t="n">
        <x:v>8</x:v>
      </x:c>
      <x:c r="H56" s="34" t="n">
        <x:v>0.5837013450673514</x:v>
      </x:c>
      <x:c r="I56" s="34" t="n">
        <x:v>-7.416298654932649</x:v>
      </x:c>
      <x:c r="J56" s="34" t="n">
        <x:v>0.4</x:v>
      </x:c>
      <x:c r="K56" s="34" t="n">
        <x:v>0.8888888888888888</x:v>
      </x:c>
      <x:c r="L56" s="34" t="n">
        <x:v>0.3685678154440969</x:v>
      </x:c>
      <x:c r="M56" s="34" t="n">
        <x:v>0.36802079587964615</x:v>
      </x:c>
      <x:c r="N56" s="34" t="n">
        <x:v>0.08573018252632954</x:v>
      </x:c>
      <x:c r="O56" s="34" t="n">
        <x:v>2.264183375161743</x:v>
      </x:c>
      <x:c r="P56" s="34" t="n">
        <x:v>2.2641833751617426</x:v>
      </x:c>
      <x:c r="Q56" s="34" t="str">
        <x:v>feasible_above_1p2</x:v>
      </x:c>
      <x:c r="R56" s="34" t="n">
        <x:v>0.7089027485298693</x:v>
      </x:c>
      <x:c r="S56" s="34" t="n">
        <x:v>1</x:v>
      </x:c>
      <x:c r="T56" s="34" t="n">
        <x:v>0.005891322996969095</x:v>
      </x:c>
      <x:c r="U56" s="34" t="n">
        <x:v>0.10132500000000001</x:v>
      </x:c>
      <x:c r="V56" s="34" t="n">
        <x:v>0.26194049447975853</x:v>
      </x:c>
      <x:c r="W56" s="34" t="n">
        <x:v>0.26031522415856434</x:v>
      </x:c>
      <x:c r="X56" s="34" t="n">
        <x:v>0.2603152241585644</x:v>
      </x:c>
      <x:c r="Y56" s="34" t="n">
        <x:v>0.231325</x:v>
      </x:c>
      <x:c r="Z56" s="34" t="n">
        <x:v>0.23132500000000003</x:v>
      </x:c>
      <x:c r="AA56" s="25" t="n">
        <x:v>0.5650928116577246</x:v>
      </x:c>
      <x:c r="AB56" s="25" t="n">
        <x:v>16349.888335559117</x:v>
      </x:c>
      <x:c r="AC56" s="25" t="n">
        <x:v>43.12979274682749</x:v>
      </x:c>
      <x:c r="AD56" s="25" t="n">
        <x:v>-0.3349971515814758</x:v>
      </x:c>
      <x:c r="AE56" s="25" t="n">
        <x:v>1.0175961035512064</x:v>
      </x:c>
      <x:c r="AF56" s="25" t="n">
        <x:v>1.1333875203911396e-7</x:v>
      </x:c>
      <x:c r="AG56" s="25" t="n">
        <x:v>0.000006800325122346838</x:v>
      </x:c>
      <x:c r="AH56" s="25" t="str">
        <x:v>condensing_or_supersaturated</x:v>
      </x:c>
      <x:c r="AI56" s="25" t="n">
        <x:v>1.000230522478484</x:v>
      </x:c>
      <x:c r="AJ56" s="25" t="n">
        <x:v>0.0008269159101849925</x:v>
      </x:c>
      <x:c r="AK56" s="25" t="str">
        <x:v>condensing_or_supersaturated</x:v>
      </x:c>
      <x:c r="AL56" s="25" t="n">
        <x:v>0.4182712538226217</x:v>
      </x:c>
      <x:c r="AM56" s="25" t="n">
        <x:v>0</x:v>
      </x:c>
      <x:c r="AN56" s="25" t="str">
        <x:v>gas_phase_noncondensing</x:v>
      </x:c>
      <x:c r="AO56" s="25" t="str">
        <x:v>deviation_valve_area_saturated</x:v>
      </x:c>
      <x:c r="AP56" s="25" t="str">
        <x:v>not_acceptable_mixer_condensation</x:v>
      </x:c>
      <x:c r="AQ56" s="25" t="str"/>
      <x:c r="AR56" s="34" t="n">
        <x:f>MAX(0,AE56-1)*100</x:f>
        <x:v>1.7596103551206443</x:v>
      </x:c>
      <x:c r="AS56" s="34" t="n">
        <x:f>AF56*1000000</x:f>
        <x:v>0.11333875203911396</x:v>
      </x:c>
      <x:c r="AT56" s="34" t="n">
        <x:f>AG56*1000000</x:f>
        <x:v>6.800325122346838</x:v>
      </x:c>
      <x:c r="AU56" s="34" t="n">
        <x:f>(Z56-Y56)*1000</x:f>
        <x:v>2.7755575615628914e-14</x:v>
      </x:c>
    </x:row>
  </x:sheetData>
  <x:mergeCells>
    <x:mergeCell ref="A1:AS1"/>
    <x:mergeCell ref="A2:AS2"/>
  </x:mergeCells>
  <x:conditionalFormatting sqref="AP5:AP56">
    <x:cfRule type="containsText" dxfId="0" priority="1" operator="containsText" text="candidate_feasible"/>
    <x:cfRule type="containsText" dxfId="1" priority="2" operator="containsText" text="not_acceptable"/>
    <x:cfRule type="containsText" dxfId="2" priority="3" operator="containsText" text="risk"/>
  </x:conditionalFormatting>
  <x:pageMargins left="0.7" right="0.7" top="0.75" bottom="0.75" header="0.3" footer="0.3"/>
  <x:tableParts count="1">
    <x:tablePart xmlns:r="http://schemas.openxmlformats.org/officeDocument/2006/relationships" r:id="Rbd6980ea2ad248d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2"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26" hidden="0" customWidth="1"/>
    <x:col min="11" max="11" width="26" hidden="0" customWidth="1"/>
    <x:col min="12" max="12" width="26" hidden="0" customWidth="1"/>
  </x:cols>
  <x:sheetData>
    <x:row r="1" ht="19.200000762939453" hidden="0" customHeight="1">
      <x:c r="A1" s="4" t="str">
        <x:v>压缩机入口混合器：气相冷凝机制与水蒸气过量</x:v>
      </x:c>
    </x:row>
    <x:row r="2" ht="26.399999618530273" hidden="0" customHeight="1">
      <x:c r="A2" s="8" t="str">
        <x:v>判据：S=pH₂O/p_sat(T)。S&gt;1 表示水蒸气分压超过该温度下饱和蒸汽压；冷凝率/积分是现有 L2 气相模型给出的相变需求量。</x:v>
      </x:c>
      <x:c r="N2" s="23" t="str">
        <x:v>工况</x:v>
      </x:c>
      <x:c r="O2" s="23" t="str">
        <x:v>最大混合器 S</x:v>
      </x:c>
      <x:c r="P2" s="23" t="str">
        <x:v>最大相对超额 (%)</x:v>
      </x:c>
      <x:c r="Q2" s="23" t="str">
        <x:v>最小露点裕度 (°C)</x:v>
      </x:c>
      <x:c r="R2" s="23" t="str">
        <x:v>最大冷凝积分 (mg)</x:v>
      </x:c>
    </x:row>
    <x:row r="3" ht="15" hidden="0" customHeight="1">
      <x:c r="N3" s="25" t="str">
        <x:v>总流量不变-j0.1</x:v>
      </x:c>
      <x:c r="O3" s="34" t="n">
        <x:v>0.7578425454845792</x:v>
      </x:c>
      <x:c r="P3" s="34" t="n">
        <x:v>0</x:v>
      </x:c>
      <x:c r="Q3" s="34" t="n">
        <x:v>5.584004181614745</x:v>
      </x:c>
      <x:c r="R3" s="34" t="n">
        <x:v>0</x:v>
      </x:c>
    </x:row>
    <x:row r="4" ht="15" hidden="0" customHeight="1">
      <x:c r="A4" s="11" t="str">
        <x:v>如何读取“水蒸气相比饱和水蒸气多了多少”</x:v>
      </x:c>
      <x:c r="B4" s="11"/>
      <x:c r="C4" s="11"/>
      <x:c r="D4" s="11"/>
      <x:c r="E4" s="11"/>
      <x:c r="F4" s="11"/>
      <x:c r="G4" s="11"/>
      <x:c r="H4" s="11"/>
      <x:c r="I4" s="11"/>
      <x:c r="J4" s="11"/>
      <x:c r="K4" s="11"/>
      <x:c r="L4" s="11"/>
      <x:c r="N4" s="25" t="str">
        <x:v>总流量不变-j0.2</x:v>
      </x:c>
      <x:c r="O4" s="34" t="n">
        <x:v>0.9534551668778177</x:v>
      </x:c>
      <x:c r="P4" s="34" t="n">
        <x:v>0</x:v>
      </x:c>
      <x:c r="Q4" s="34" t="n">
        <x:v>0.877673521435085</x:v>
      </x:c>
      <x:c r="R4" s="34" t="n">
        <x:v>0</x:v>
      </x:c>
    </x:row>
    <x:row r="5" ht="15" hidden="0" customHeight="1">
      <x:c r="A5" s="14" t="str">
        <x:v>相对超额</x:v>
      </x:c>
      <x:c r="B5" s="30" t="str">
        <x:v>MAX(0, S−1)×100%。例如 S=1.165 表示水蒸气分压比该温度的饱和蒸汽压高 16.5%。</x:v>
      </x:c>
      <x:c r="C5" s="30"/>
      <x:c r="D5" s="30"/>
      <x:c r="E5" s="30"/>
      <x:c r="F5" s="30"/>
      <x:c r="G5" s="30"/>
      <x:c r="H5" s="30"/>
      <x:c r="I5" s="30"/>
      <x:c r="J5" s="30"/>
      <x:c r="K5" s="30"/>
      <x:c r="L5" s="30"/>
      <x:c r="N5" s="25" t="str">
        <x:v>总流量不变-j0.4</x:v>
      </x:c>
      <x:c r="O5" s="34" t="n">
        <x:v>1.1276021664588292</x:v>
      </x:c>
      <x:c r="P5" s="34" t="n">
        <x:v>12.760216645882917</x:v>
      </x:c>
      <x:c r="Q5" s="34" t="n">
        <x:v>-2.3417860664874297</x:v>
      </x:c>
      <x:c r="R5" s="34" t="n">
        <x:v>50.93252540217673</x:v>
      </x:c>
    </x:row>
    <x:row r="6" ht="15" hidden="0" customHeight="1">
      <x:c r="A6" s="14" t="str">
        <x:v>绝对相变需求</x:v>
      </x:c>
      <x:c r="B6" s="30" t="str">
        <x:v>混合器冷凝率 m_cond（mg/s）与 600 s 内的冷凝积分（mg）。这是模型为回到饱和气相所计算的相变需求，不是液水库存。</x:v>
      </x:c>
      <x:c r="C6" s="30"/>
      <x:c r="D6" s="30"/>
      <x:c r="E6" s="30"/>
      <x:c r="F6" s="30"/>
      <x:c r="G6" s="30"/>
      <x:c r="H6" s="30"/>
      <x:c r="I6" s="30"/>
      <x:c r="J6" s="30"/>
      <x:c r="K6" s="30"/>
      <x:c r="L6" s="30"/>
      <x:c r="N6" s="25" t="str">
        <x:v>总流量不变-j1</x:v>
      </x:c>
      <x:c r="O6" s="34" t="n">
        <x:v>1.1941517746453305</x:v>
      </x:c>
      <x:c r="P6" s="34" t="n">
        <x:v>19.415177464533052</x:v>
      </x:c>
      <x:c r="Q6" s="34" t="n">
        <x:v>-3.397477549806297</x:v>
      </x:c>
      <x:c r="R6" s="34" t="n">
        <x:v>65.19961024889191</x:v>
      </x:c>
    </x:row>
    <x:row r="7" ht="15" hidden="0" customHeight="1">
      <x:c r="A7" s="14" t="str">
        <x:v>发生位置</x:v>
      </x:c>
      <x:c r="B7" s="30" t="str">
        <x:v>本模型重点监测压缩机入口混合器：较湿、较热的回流气与环境新鲜空气混合后，若混合温度下降而水蒸气分压未同步下降，则 S 上升并可能超过 1。</x:v>
      </x:c>
      <x:c r="C7" s="30"/>
      <x:c r="D7" s="30"/>
      <x:c r="E7" s="30"/>
      <x:c r="F7" s="30"/>
      <x:c r="G7" s="30"/>
      <x:c r="H7" s="30"/>
      <x:c r="I7" s="30"/>
      <x:c r="J7" s="30"/>
      <x:c r="K7" s="30"/>
      <x:c r="L7" s="30"/>
      <x:c r="N7" s="25" t="str">
        <x:v>新鲜空气不变-j0.1</x:v>
      </x:c>
      <x:c r="O7" s="34" t="n">
        <x:v>0.6242607882912296</x:v>
      </x:c>
      <x:c r="P7" s="34" t="n">
        <x:v>0</x:v>
      </x:c>
      <x:c r="Q7" s="34" t="n">
        <x:v>8.180542835989243</x:v>
      </x:c>
      <x:c r="R7" s="34" t="n">
        <x:v>0</x:v>
      </x:c>
    </x:row>
    <x:row r="8" ht="15" hidden="0" customHeight="1">
      <x:c r="A8" s="14" t="str">
        <x:v>工程边界</x:v>
      </x:c>
      <x:c r="B8" s="30" t="str">
        <x:v>不能由本表推断液滴尺寸、分离效率、压缩机耐液能力或真实进液量；这些需要液相库存与液滴输运模型。</x:v>
      </x:c>
      <x:c r="C8" s="30"/>
      <x:c r="D8" s="30"/>
      <x:c r="E8" s="30"/>
      <x:c r="F8" s="30"/>
      <x:c r="G8" s="30"/>
      <x:c r="H8" s="30"/>
      <x:c r="I8" s="30"/>
      <x:c r="J8" s="30"/>
      <x:c r="K8" s="30"/>
      <x:c r="L8" s="30"/>
      <x:c r="N8" s="25" t="str">
        <x:v>新鲜空气不变-j0.2</x:v>
      </x:c>
      <x:c r="O8" s="34" t="n">
        <x:v>0.7662223873735027</x:v>
      </x:c>
      <x:c r="P8" s="34" t="n">
        <x:v>0</x:v>
      </x:c>
      <x:c r="Q8" s="34" t="n">
        <x:v>4.710695955534796</x:v>
      </x:c>
      <x:c r="R8" s="34" t="n">
        <x:v>0</x:v>
      </x:c>
    </x:row>
    <x:row r="9" ht="15" hidden="0" customHeight="1">
      <x:c r="N9" s="25" t="str">
        <x:v>新鲜空气不变-j0.4</x:v>
      </x:c>
      <x:c r="O9" s="34" t="n">
        <x:v>1.0062643148576287</x:v>
      </x:c>
      <x:c r="P9" s="34" t="n">
        <x:v>0.6264314857628683</x:v>
      </x:c>
      <x:c r="Q9" s="34" t="n">
        <x:v>-0.11392283830842587</x:v>
      </x:c>
      <x:c r="R9" s="34" t="n">
        <x:v>1.3144281290815252</x:v>
      </x:c>
    </x:row>
    <x:row r="10" ht="15" hidden="0" customHeight="1">
      <x:c r="N10" s="25" t="str">
        <x:v>新鲜空气不变-j1</x:v>
      </x:c>
      <x:c r="O10" s="34" t="n">
        <x:v>1.0502503083638788</x:v>
      </x:c>
      <x:c r="P10" s="34" t="n">
        <x:v>5.025030836387878</x:v>
      </x:c>
      <x:c r="Q10" s="34" t="n">
        <x:v>-0.928600710449075</x:v>
      </x:c>
      <x:c r="R10" s="34" t="n">
        <x:v>16.74986152026404</x:v>
      </x:c>
    </x:row>
    <x:row r="11" ht="15" hidden="0" customHeight="1">
      <x:c r="A11" s="11" t="str">
        <x:v>出现混合器过饱和/冷凝的 case（按 L2 气相诊断）</x:v>
      </x:c>
      <x:c r="B11" s="11"/>
      <x:c r="C11" s="11"/>
      <x:c r="D11" s="11"/>
      <x:c r="E11" s="11"/>
      <x:c r="F11" s="11"/>
      <x:c r="G11" s="11"/>
      <x:c r="H11" s="11"/>
      <x:c r="I11" s="11"/>
      <x:c r="J11" s="11"/>
      <x:c r="K11" s="11"/>
      <x:c r="L11" s="11"/>
    </x:row>
    <x:row r="12" ht="26.399999618530273" hidden="0" customHeight="1">
      <x:c r="A12" s="23" t="str">
        <x:v>策略</x:v>
      </x:c>
      <x:c r="B12" s="23" t="str">
        <x:v>j (A/cm²)</x:v>
      </x:c>
      <x:c r="C12" s="23" t="str">
        <x:v>目标 R</x:v>
      </x:c>
      <x:c r="D12" s="23" t="str">
        <x:v>实际 R</x:v>
      </x:c>
      <x:c r="E12" s="23" t="str">
        <x:v>混合器 S</x:v>
      </x:c>
      <x:c r="F12" s="23" t="str">
        <x:v>相对超额 (%)</x:v>
      </x:c>
      <x:c r="G12" s="23" t="str">
        <x:v>露点裕度 (°C)</x:v>
      </x:c>
      <x:c r="H12" s="23" t="str">
        <x:v>冷凝率 (mg/s)</x:v>
      </x:c>
      <x:c r="I12" s="23" t="str">
        <x:v>600 s 冷凝积分 (mg)</x:v>
      </x:c>
      <x:c r="J12" s="23" t="str">
        <x:v>混合器状态</x:v>
      </x:c>
      <x:c r="K12" s="23" t="str">
        <x:v>阴极状态</x:v>
      </x:c>
      <x:c r="L12" s="23" t="str">
        <x:v>综合状态</x:v>
      </x:c>
    </x:row>
    <x:row r="13" ht="26.399999618530273" hidden="0" customHeight="1">
      <x:c r="A13" s="25" t="str">
        <x:v>总流量不变</x:v>
      </x:c>
      <x:c r="B13" s="34" t="n">
        <x:v>0.4</x:v>
      </x:c>
      <x:c r="C13" s="34" t="n">
        <x:v>0.35</x:v>
      </x:c>
      <x:c r="D13" s="34" t="n">
        <x:v>0.34999865019611576</x:v>
      </x:c>
      <x:c r="E13" s="34" t="n">
        <x:v>1.1276021664588292</x:v>
      </x:c>
      <x:c r="F13" s="34" t="n">
        <x:v>12.760216645882917</x:v>
      </x:c>
      <x:c r="G13" s="34" t="n">
        <x:v>-2.177965343938425</x:v>
      </x:c>
      <x:c r="H13" s="34" t="n">
        <x:v>0.498484697889121</x:v>
      </x:c>
      <x:c r="I13" s="34" t="n">
        <x:v>29.90908187334726</x:v>
      </x:c>
      <x:c r="J13" s="29" t="str">
        <x:v>condensing_or_supersaturated</x:v>
      </x:c>
      <x:c r="K13" s="29" t="str">
        <x:v>condensing_or_supersaturated</x:v>
      </x:c>
      <x:c r="L13" s="29" t="str">
        <x:v>not_acceptable_mixer_condensation</x:v>
      </x:c>
    </x:row>
    <x:row r="14" ht="26.399999618530273" hidden="0" customHeight="1">
      <x:c r="A14" s="25" t="str">
        <x:v>总流量不变</x:v>
      </x:c>
      <x:c r="B14" s="34" t="n">
        <x:v>0.4</x:v>
      </x:c>
      <x:c r="C14" s="34" t="n">
        <x:v>0.7</x:v>
      </x:c>
      <x:c r="D14" s="34" t="n">
        <x:v>0.699993329782037</x:v>
      </x:c>
      <x:c r="E14" s="34" t="n">
        <x:v>1.127137315267153</x:v>
      </x:c>
      <x:c r="F14" s="34" t="n">
        <x:v>12.71373152671531</x:v>
      </x:c>
      <x:c r="G14" s="34" t="n">
        <x:v>-2.3417860664874297</x:v>
      </x:c>
      <x:c r="H14" s="34" t="n">
        <x:v>0.8488754233696122</x:v>
      </x:c>
      <x:c r="I14" s="34" t="n">
        <x:v>50.93252540217673</x:v>
      </x:c>
      <x:c r="J14" s="29" t="str">
        <x:v>condensing_or_supersaturated</x:v>
      </x:c>
      <x:c r="K14" s="29" t="str">
        <x:v>condensing_or_supersaturated</x:v>
      </x:c>
      <x:c r="L14" s="29" t="str">
        <x:v>not_acceptable_mixer_condensation</x:v>
      </x:c>
    </x:row>
    <x:row r="15" ht="26.399999618530273" hidden="0" customHeight="1">
      <x:c r="A15" s="25" t="str">
        <x:v>总流量不变</x:v>
      </x:c>
      <x:c r="B15" s="34" t="n">
        <x:v>0.4</x:v>
      </x:c>
      <x:c r="C15" s="34" t="n">
        <x:v>1.0499999999999998</x:v>
      </x:c>
      <x:c r="D15" s="34" t="n">
        <x:v>1.0499822682086781</x:v>
      </x:c>
      <x:c r="E15" s="34" t="n">
        <x:v>1.0545384302518528</x:v>
      </x:c>
      <x:c r="F15" s="34" t="n">
        <x:v>5.453843025185279</x:v>
      </x:c>
      <x:c r="G15" s="34" t="n">
        <x:v>-1.091373508852925</x:v>
      </x:c>
      <x:c r="H15" s="34" t="n">
        <x:v>0.5370655400583286</x:v>
      </x:c>
      <x:c r="I15" s="34" t="n">
        <x:v>32.22393240349972</x:v>
      </x:c>
      <x:c r="J15" s="29" t="str">
        <x:v>condensing_or_supersaturated</x:v>
      </x:c>
      <x:c r="K15" s="29" t="str">
        <x:v>condensing_or_supersaturated</x:v>
      </x:c>
      <x:c r="L15" s="29" t="str">
        <x:v>not_acceptable_mixer_condensation</x:v>
      </x:c>
    </x:row>
    <x:row r="16" ht="26.399999618530273" hidden="0" customHeight="1">
      <x:c r="A16" s="25" t="str">
        <x:v>总流量不变</x:v>
      </x:c>
      <x:c r="B16" s="34" t="n">
        <x:v>1</x:v>
      </x:c>
      <x:c r="C16" s="34" t="n">
        <x:v>0.2</x:v>
      </x:c>
      <x:c r="D16" s="34" t="n">
        <x:v>0.1999712627627145</x:v>
      </x:c>
      <x:c r="E16" s="34" t="n">
        <x:v>1.165195722377476</x:v>
      </x:c>
      <x:c r="F16" s="34" t="n">
        <x:v>16.519572237747603</x:v>
      </x:c>
      <x:c r="G16" s="34" t="n">
        <x:v>-2.721792198035118</x:v>
      </x:c>
      <x:c r="H16" s="34" t="n">
        <x:v>0.5569438152613128</x:v>
      </x:c>
      <x:c r="I16" s="34" t="n">
        <x:v>33.416628915678764</x:v>
      </x:c>
      <x:c r="J16" s="29" t="str">
        <x:v>condensing_or_supersaturated</x:v>
      </x:c>
      <x:c r="K16" s="29" t="str">
        <x:v>condensing_or_supersaturated</x:v>
      </x:c>
      <x:c r="L16" s="29" t="str">
        <x:v>not_acceptable_mixer_condensation</x:v>
      </x:c>
    </x:row>
    <x:row r="17" ht="26.399999618530273" hidden="0" customHeight="1">
      <x:c r="A17" s="25" t="str">
        <x:v>总流量不变</x:v>
      </x:c>
      <x:c r="B17" s="34" t="n">
        <x:v>1</x:v>
      </x:c>
      <x:c r="C17" s="34" t="n">
        <x:v>0.4</x:v>
      </x:c>
      <x:c r="D17" s="34" t="n">
        <x:v>0.39993326022200876</x:v>
      </x:c>
      <x:c r="E17" s="34" t="n">
        <x:v>1.1941517746453305</x:v>
      </x:c>
      <x:c r="F17" s="34" t="n">
        <x:v>19.415177464533052</x:v>
      </x:c>
      <x:c r="G17" s="34" t="n">
        <x:v>-3.397477549806297</x:v>
      </x:c>
      <x:c r="H17" s="34" t="n">
        <x:v>1.0866601708148653</x:v>
      </x:c>
      <x:c r="I17" s="34" t="n">
        <x:v>65.19961024889191</x:v>
      </x:c>
      <x:c r="J17" s="29" t="str">
        <x:v>condensing_or_supersaturated</x:v>
      </x:c>
      <x:c r="K17" s="29" t="str">
        <x:v>condensing_or_supersaturated</x:v>
      </x:c>
      <x:c r="L17" s="29" t="str">
        <x:v>not_acceptable_mixer_condensation</x:v>
      </x:c>
    </x:row>
    <x:row r="18" ht="26.399999618530273" hidden="0" customHeight="1">
      <x:c r="A18" s="25" t="str">
        <x:v>总流量不变</x:v>
      </x:c>
      <x:c r="B18" s="34" t="n">
        <x:v>1</x:v>
      </x:c>
      <x:c r="C18" s="34" t="n">
        <x:v>0.6000000000000001</x:v>
      </x:c>
      <x:c r="D18" s="34" t="n">
        <x:v>0.5998763444310314</x:v>
      </x:c>
      <x:c r="E18" s="34" t="n">
        <x:v>1.1141615764180077</x:v>
      </x:c>
      <x:c r="F18" s="34" t="n">
        <x:v>11.416157641800773</x:v>
      </x:c>
      <x:c r="G18" s="34" t="n">
        <x:v>-2.180814629981228</x:v>
      </x:c>
      <x:c r="H18" s="34" t="n">
        <x:v>0.9511089766540318</x:v>
      </x:c>
      <x:c r="I18" s="34" t="n">
        <x:v>57.06653859924191</x:v>
      </x:c>
      <x:c r="J18" s="29" t="str">
        <x:v>condensing_or_supersaturated</x:v>
      </x:c>
      <x:c r="K18" s="29" t="str">
        <x:v>condensing_or_supersaturated</x:v>
      </x:c>
      <x:c r="L18" s="29" t="str">
        <x:v>not_acceptable_mixer_condensation</x:v>
      </x:c>
    </x:row>
    <x:row r="19" ht="26.399999618530273" hidden="0" customHeight="1">
      <x:c r="A19" s="25" t="str">
        <x:v>总流量不变</x:v>
      </x:c>
      <x:c r="B19" s="34" t="n">
        <x:v>1</x:v>
      </x:c>
      <x:c r="C19" s="34" t="n">
        <x:v>0.8</x:v>
      </x:c>
      <x:c r="D19" s="34" t="n">
        <x:v>0.799828812517594</x:v>
      </x:c>
      <x:c r="E19" s="34" t="n">
        <x:v>1.0232270785994553</x:v>
      </x:c>
      <x:c r="F19" s="34" t="n">
        <x:v>2.3227078599455275</x:v>
      </x:c>
      <x:c r="G19" s="34" t="n">
        <x:v>-0.48080667297024604</x:v>
      </x:c>
      <x:c r="H19" s="34" t="n">
        <x:v>0.2612215038831074</x:v>
      </x:c>
      <x:c r="I19" s="34" t="n">
        <x:v>15.673290232986444</x:v>
      </x:c>
      <x:c r="J19" s="29" t="str">
        <x:v>condensing_or_supersaturated</x:v>
      </x:c>
      <x:c r="K19" s="29" t="str">
        <x:v>condensing_or_supersaturated</x:v>
      </x:c>
      <x:c r="L19" s="29" t="str">
        <x:v>not_acceptable_mixer_condensation</x:v>
      </x:c>
    </x:row>
    <x:row r="20" ht="26.399999618530273" hidden="0" customHeight="1">
      <x:c r="A20" s="25" t="str">
        <x:v>新鲜空气不变</x:v>
      </x:c>
      <x:c r="B20" s="34" t="n">
        <x:v>0.4</x:v>
      </x:c>
      <x:c r="C20" s="34" t="n">
        <x:v>0.5</x:v>
      </x:c>
      <x:c r="D20" s="34" t="n">
        <x:v>0.49987513049764964</x:v>
      </x:c>
      <x:c r="E20" s="34" t="n">
        <x:v>1.0062643148576287</x:v>
      </x:c>
      <x:c r="F20" s="34" t="n">
        <x:v>0.6264314857628683</x:v>
      </x:c>
      <x:c r="G20" s="34" t="n">
        <x:v>-0.11392283830842587</x:v>
      </x:c>
      <x:c r="H20" s="34" t="n">
        <x:v>0.021907135484692086</x:v>
      </x:c>
      <x:c r="I20" s="34" t="n">
        <x:v>1.3144281290815252</x:v>
      </x:c>
      <x:c r="J20" s="29" t="str">
        <x:v>condensing_or_supersaturated</x:v>
      </x:c>
      <x:c r="K20" s="29" t="str">
        <x:v>condensing_or_supersaturated</x:v>
      </x:c>
      <x:c r="L20" s="29" t="str">
        <x:v>not_acceptable_mixer_condensation</x:v>
      </x:c>
    </x:row>
    <x:row r="21" ht="26.399999618530273" hidden="0" customHeight="1">
      <x:c r="A21" s="25" t="str">
        <x:v>新鲜空气不变</x:v>
      </x:c>
      <x:c r="B21" s="34" t="n">
        <x:v>1</x:v>
      </x:c>
      <x:c r="C21" s="34" t="n">
        <x:v>0.5</x:v>
      </x:c>
      <x:c r="D21" s="34" t="n">
        <x:v>0.49892572711411076</x:v>
      </x:c>
      <x:c r="E21" s="34" t="n">
        <x:v>1.0502503083638788</x:v>
      </x:c>
      <x:c r="F21" s="34" t="n">
        <x:v>5.025030836387878</x:v>
      </x:c>
      <x:c r="G21" s="34" t="n">
        <x:v>-0.928600710449075</x:v>
      </x:c>
      <x:c r="H21" s="34" t="n">
        <x:v>0.27916435867106737</x:v>
      </x:c>
      <x:c r="I21" s="34" t="n">
        <x:v>16.74986152026404</x:v>
      </x:c>
      <x:c r="J21" s="29" t="str">
        <x:v>condensing_or_supersaturated</x:v>
      </x:c>
      <x:c r="K21" s="29" t="str">
        <x:v>condensing_or_supersaturated</x:v>
      </x:c>
      <x:c r="L21" s="29" t="str">
        <x:v>not_acceptable_mixer_condensation</x:v>
      </x:c>
    </x:row>
    <x:row r="22" ht="26.399999618530273" hidden="0" customHeight="1">
      <x:c r="A22" s="25" t="str">
        <x:v>新鲜空气不变</x:v>
      </x:c>
      <x:c r="B22" s="34" t="n">
        <x:v>1</x:v>
      </x:c>
      <x:c r="C22" s="34" t="n">
        <x:v>1</x:v>
      </x:c>
      <x:c r="D22" s="34" t="n">
        <x:v>0.5837013637953853</x:v>
      </x:c>
      <x:c r="E22" s="34" t="n">
        <x:v>1.0175959731612767</x:v>
      </x:c>
      <x:c r="F22" s="34" t="n">
        <x:v>1.7595973161276701</x:v>
      </x:c>
      <x:c r="G22" s="34" t="n">
        <x:v>-0.33499469442270424</x:v>
      </x:c>
      <x:c r="H22" s="34" t="n">
        <x:v>0.11333795697024086</x:v>
      </x:c>
      <x:c r="I22" s="34" t="n">
        <x:v>6.800277418214452</x:v>
      </x:c>
      <x:c r="J22" s="29" t="str">
        <x:v>condensing_or_supersaturated</x:v>
      </x:c>
      <x:c r="K22" s="29" t="str">
        <x:v>condensing_or_supersaturated</x:v>
      </x:c>
      <x:c r="L22" s="29" t="str">
        <x:v>not_acceptable_mixer_condensation</x:v>
      </x:c>
    </x:row>
    <x:row r="23" ht="26.399999618530273" hidden="0" customHeight="1">
      <x:c r="A23" s="25" t="str">
        <x:v>新鲜空气不变</x:v>
      </x:c>
      <x:c r="B23" s="34" t="n">
        <x:v>1</x:v>
      </x:c>
      <x:c r="C23" s="34" t="n">
        <x:v>2</x:v>
      </x:c>
      <x:c r="D23" s="34" t="n">
        <x:v>0.5837013450673519</x:v>
      </x:c>
      <x:c r="E23" s="34" t="n">
        <x:v>1.0175961035514351</x:v>
      </x:c>
      <x:c r="F23" s="34" t="n">
        <x:v>1.759610355143515</x:v>
      </x:c>
      <x:c r="G23" s="34" t="n">
        <x:v>-0.3349971515858101</x:v>
      </x:c>
      <x:c r="H23" s="34" t="n">
        <x:v>0.11333875204051401</x:v>
      </x:c>
      <x:c r="I23" s="34" t="n">
        <x:v>6.800325122430841</x:v>
      </x:c>
      <x:c r="J23" s="29" t="str">
        <x:v>condensing_or_supersaturated</x:v>
      </x:c>
      <x:c r="K23" s="29" t="str">
        <x:v>condensing_or_supersaturated</x:v>
      </x:c>
      <x:c r="L23" s="29" t="str">
        <x:v>not_acceptable_mixer_condensation</x:v>
      </x:c>
    </x:row>
    <x:row r="24" ht="26.399999618530273" hidden="0" customHeight="1">
      <x:c r="A24" s="25" t="str">
        <x:v>新鲜空气不变</x:v>
      </x:c>
      <x:c r="B24" s="34" t="n">
        <x:v>1</x:v>
      </x:c>
      <x:c r="C24" s="34" t="n">
        <x:v>4</x:v>
      </x:c>
      <x:c r="D24" s="34" t="n">
        <x:v>0.5837013084870363</x:v>
      </x:c>
      <x:c r="E24" s="34" t="n">
        <x:v>1.0128092605478445</x:v>
      </x:c>
      <x:c r="F24" s="34" t="n">
        <x:v>1.280926054784448</x:v>
      </x:c>
      <x:c r="G24" s="34" t="n">
        <x:v>-0.24453282156036948</x:v>
      </x:c>
      <x:c r="H24" s="34" t="n">
        <x:v>0.08396146187313923</x:v>
      </x:c>
      <x:c r="I24" s="34" t="n">
        <x:v>5.037687712388354</x:v>
      </x:c>
      <x:c r="J24" s="29" t="str">
        <x:v>condensing_or_supersaturated</x:v>
      </x:c>
      <x:c r="K24" s="29" t="str">
        <x:v>condensing_or_supersaturated</x:v>
      </x:c>
      <x:c r="L24" s="29" t="str">
        <x:v>not_acceptable_mixer_condensation</x:v>
      </x:c>
    </x:row>
    <x:row r="25" ht="26.399999618530273" hidden="0" customHeight="1">
      <x:c r="A25" s="25" t="str">
        <x:v>新鲜空气不变</x:v>
      </x:c>
      <x:c r="B25" s="34" t="n">
        <x:v>1</x:v>
      </x:c>
      <x:c r="C25" s="34" t="n">
        <x:v>8</x:v>
      </x:c>
      <x:c r="D25" s="34" t="n">
        <x:v>0.5837013450673514</x:v>
      </x:c>
      <x:c r="E25" s="34" t="n">
        <x:v>1.0175961035512064</x:v>
      </x:c>
      <x:c r="F25" s="34" t="n">
        <x:v>1.7596103551206443</x:v>
      </x:c>
      <x:c r="G25" s="34" t="n">
        <x:v>-0.3349971515814758</x:v>
      </x:c>
      <x:c r="H25" s="34" t="n">
        <x:v>0.11333875203911396</x:v>
      </x:c>
      <x:c r="I25" s="34" t="n">
        <x:v>6.800325122346838</x:v>
      </x:c>
      <x:c r="J25" s="29" t="str">
        <x:v>condensing_or_supersaturated</x:v>
      </x:c>
      <x:c r="K25" s="29" t="str">
        <x:v>condensing_or_supersaturated</x:v>
      </x:c>
      <x:c r="L25" s="29" t="str">
        <x:v>not_acceptable_mixer_condensation</x:v>
      </x:c>
    </x:row>
  </x:sheetData>
  <x:mergeCells>
    <x:mergeCell ref="A1:L1"/>
    <x:mergeCell ref="A2:L2"/>
    <x:mergeCell ref="A4:L4"/>
    <x:mergeCell ref="B5:L5"/>
    <x:mergeCell ref="B6:L6"/>
    <x:mergeCell ref="B7:L7"/>
    <x:mergeCell ref="B8:L8"/>
    <x:mergeCell ref="A11:L11"/>
  </x:mergeCells>
  <x:pageMargins left="0.7" right="0.7" top="0.75" bottom="0.75" header="0.3" footer="0.3"/>
  <x:drawing xmlns:r="http://schemas.openxmlformats.org/officeDocument/2006/relationships" r:id="R9e3e88baeb9f42ab"/>
</x:worksheet>
</file>

<file path=xl/worksheets/sheet4.xml><?xml version="1.0" encoding="utf-8"?>
<x:worksheet xmlns:x="http://schemas.openxmlformats.org/spreadsheetml/2006/main">
  <x:sheetViews>
    <x:sheetView showGridLines="0" workbookViewId="0"/>
  </x:sheetViews>
  <x:sheetFormatPr defaultRowHeight="15"/>
  <x:cols>
    <x:col min="1" max="1" width="22"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s>
  <x:sheetData>
    <x:row r="1" ht="19.200000762939453" hidden="0" customHeight="1">
      <x:c r="A1" s="4" t="str">
        <x:v>方法、定义与适用边界</x:v>
      </x:c>
    </x:row>
    <x:row r="2" ht="15" hidden="0" customHeight="1">
      <x:c r="A2" s="8" t="str">
        <x:v>用于复核 Excel 各字段的物理含义与结果使用范围。</x:v>
      </x:c>
    </x:row>
    <x:row r="3"/>
    <x:row r="4" ht="15" hidden="0" customHeight="1">
      <x:c r="A4" s="11" t="str">
        <x:v>工况与控制定义</x:v>
      </x:c>
      <x:c r="B4" s="11"/>
      <x:c r="C4" s="11"/>
      <x:c r="D4" s="11"/>
      <x:c r="E4" s="11"/>
      <x:c r="F4" s="11"/>
      <x:c r="G4" s="11"/>
      <x:c r="H4" s="11"/>
      <x:c r="I4" s="11"/>
      <x:c r="J4" s="11"/>
      <x:c r="K4" s="11"/>
      <x:c r="L4" s="11"/>
    </x:row>
    <x:row r="5" ht="15" hidden="0" customHeight="1">
      <x:c r="A5" s="14" t="str">
        <x:v>正式模型</x:v>
      </x:c>
      <x:c r="B5" s="30" t="str">
        <x:v>PEMFuelCellSystem_Cathode_cEGR_SelfHumidifying_v01.slx；阀门被动循环 + 自增湿电堆。</x:v>
      </x:c>
      <x:c r="C5" s="30"/>
      <x:c r="D5" s="30"/>
      <x:c r="E5" s="30"/>
      <x:c r="F5" s="30"/>
      <x:c r="G5" s="30"/>
      <x:c r="H5" s="30"/>
      <x:c r="I5" s="30"/>
      <x:c r="J5" s="30"/>
      <x:c r="K5" s="30"/>
      <x:c r="L5" s="30"/>
    </x:row>
    <x:row r="6" ht="15" hidden="0" customHeight="1">
      <x:c r="A6" s="14" t="str">
        <x:v>正式 runner</x:v>
      </x:c>
      <x:c r="B6" s="30" t="str">
        <x:v>run_routeA_focused_study.m；两批均为 600 s cold-start、4-worker parsim。</x:v>
      </x:c>
      <x:c r="C6" s="30"/>
      <x:c r="D6" s="30"/>
      <x:c r="E6" s="30"/>
      <x:c r="F6" s="30"/>
      <x:c r="G6" s="30"/>
      <x:c r="H6" s="30"/>
      <x:c r="I6" s="30"/>
      <x:c r="J6" s="30"/>
      <x:c r="K6" s="30"/>
      <x:c r="L6" s="30"/>
    </x:row>
    <x:row r="7" ht="15" hidden="0" customHeight="1">
      <x:c r="A7" s="14" t="str">
        <x:v>负载点</x:v>
      </x:c>
      <x:c r="B7" s="30" t="str">
        <x:v>j=[0.1, 0.2, 0.4, 1.0] A/cm²；推荐 OER=[5.0, 3.6, 2.4, 1.8]。</x:v>
      </x:c>
      <x:c r="C7" s="30"/>
      <x:c r="D7" s="30"/>
      <x:c r="E7" s="30"/>
      <x:c r="F7" s="30"/>
      <x:c r="G7" s="30"/>
      <x:c r="H7" s="30"/>
      <x:c r="I7" s="30"/>
      <x:c r="J7" s="30"/>
      <x:c r="K7" s="30"/>
      <x:c r="L7" s="30"/>
    </x:row>
    <x:row r="8" ht="15" hidden="0" customHeight="1">
      <x:c r="A8" s="14" t="str">
        <x:v>总流量不变</x:v>
      </x:c>
      <x:c r="B8" s="30" t="str">
        <x:v>保持参考 OER 对应压缩机总质量流；R_EGR=(OER_ref−1)×[0,0.10,0.25,0.50,0.75,1.00]。</x:v>
      </x:c>
      <x:c r="C8" s="30"/>
      <x:c r="D8" s="30"/>
      <x:c r="E8" s="30"/>
      <x:c r="F8" s="30"/>
      <x:c r="G8" s="30"/>
      <x:c r="H8" s="30"/>
      <x:c r="I8" s="30"/>
      <x:c r="J8" s="30"/>
      <x:c r="K8" s="30"/>
      <x:c r="L8" s="30"/>
    </x:row>
    <x:row r="9" ht="15" hidden="0" customHeight="1">
      <x:c r="A9" s="14" t="str">
        <x:v>新鲜空气不变</x:v>
      </x:c>
      <x:c r="B9" s="30" t="str">
        <x:v>mode 4 对 m_fresh=max(0,|m_total|−|m_cEGR|) 闭环；R_EGR=[0,0.1,0.5,1,2,4,8]。</x:v>
      </x:c>
      <x:c r="C9" s="30"/>
      <x:c r="D9" s="30"/>
      <x:c r="E9" s="30"/>
      <x:c r="F9" s="30"/>
      <x:c r="G9" s="30"/>
      <x:c r="H9" s="30"/>
      <x:c r="I9" s="30"/>
      <x:c r="J9" s="30"/>
      <x:c r="K9" s="30"/>
      <x:c r="L9" s="30"/>
    </x:row>
    <x:row r="10" ht="15" hidden="0" customHeight="1">
      <x:c r="A10" s="14" t="str">
        <x:v>回流定义</x:v>
      </x:c>
      <x:c r="B10" s="30" t="str">
        <x:v>R_EGR=m_return/m_fresh；阀 PI 输入 x_EGR=m_return/m_total=R_EGR/(1+R_EGR)；r_split 为独立出口分支量。</x:v>
      </x:c>
      <x:c r="C10" s="30"/>
      <x:c r="D10" s="30"/>
      <x:c r="E10" s="30"/>
      <x:c r="F10" s="30"/>
      <x:c r="G10" s="30"/>
      <x:c r="H10" s="30"/>
      <x:c r="I10" s="30"/>
      <x:c r="J10" s="30"/>
      <x:c r="K10" s="30"/>
      <x:c r="L10" s="30"/>
    </x:row>
    <x:row r="11" ht="15" hidden="0" customHeight="1">
      <x:c r="A11" s="14" t="str">
        <x:v>OER 判据</x:v>
      </x:c>
      <x:c r="B11" s="30" t="str">
        <x:v>实际入堆尾窗最小 OER：&lt;1 不可取；1–1.2 风险；&gt;1.2 可行。</x:v>
      </x:c>
      <x:c r="C11" s="30"/>
      <x:c r="D11" s="30"/>
      <x:c r="E11" s="30"/>
      <x:c r="F11" s="30"/>
      <x:c r="G11" s="30"/>
      <x:c r="H11" s="30"/>
      <x:c r="I11" s="30"/>
      <x:c r="J11" s="30"/>
      <x:c r="K11" s="30"/>
      <x:c r="L11" s="30"/>
    </x:row>
    <x:row r="12" ht="15" hidden="0" customHeight="1">
      <x:c r="A12" s="14" t="str">
        <x:v>冷凝判据</x:v>
      </x:c>
      <x:c r="B12" s="30" t="str">
        <x:v>混合器/阴极/回流管的 S、露点裕度、m_cond；仅为 L2 气相相态筛选。</x:v>
      </x:c>
      <x:c r="C12" s="30"/>
      <x:c r="D12" s="30"/>
      <x:c r="E12" s="30"/>
      <x:c r="F12" s="30"/>
      <x:c r="G12" s="30"/>
      <x:c r="H12" s="30"/>
      <x:c r="I12" s="30"/>
      <x:c r="J12" s="30"/>
      <x:c r="K12" s="30"/>
      <x:c r="L12" s="30"/>
    </x:row>
    <x:row r="13" ht="15" hidden="0" customHeight="1">
      <x:c r="A13" s="14" t="str">
        <x:v>失败 case 修复</x:v>
      </x:c>
      <x:c r="B13" s="30" t="str">
        <x:v>原两个 case 的新增 Abs 块在启动期连续过零；参照既有 Abs 设置 ZeroCross=off 后只补算两个 case，并原位合并正式 MAT。</x:v>
      </x:c>
      <x:c r="C13" s="30"/>
      <x:c r="D13" s="30"/>
      <x:c r="E13" s="30"/>
      <x:c r="F13" s="30"/>
      <x:c r="G13" s="30"/>
      <x:c r="H13" s="30"/>
      <x:c r="I13" s="30"/>
      <x:c r="J13" s="30"/>
      <x:c r="K13" s="30"/>
      <x:c r="L13" s="30"/>
    </x:row>
    <x:row r="14" ht="15" hidden="0" customHeight="1">
      <x:c r="A14" s="14" t="str">
        <x:v>结果文件</x:v>
      </x:c>
      <x:c r="B14" s="30" t="str">
        <x:v>04_Simulink物理网络模型\02_结果\RouteA_Cathode_cEGR_Focused\RouteA_Focused_External240kW_VSH_PassiveCEGR_total_flow_fixed_4J_600s_v02.mat</x:v>
      </x:c>
      <x:c r="C14" s="30"/>
      <x:c r="D14" s="30"/>
      <x:c r="E14" s="30"/>
      <x:c r="F14" s="30"/>
      <x:c r="G14" s="30"/>
      <x:c r="H14" s="30"/>
      <x:c r="I14" s="30"/>
      <x:c r="J14" s="30"/>
      <x:c r="K14" s="30"/>
      <x:c r="L14" s="30"/>
    </x:row>
    <x:row r="15" ht="15" hidden="0" customHeight="1">
      <x:c r="A15" s="14" t="str">
        <x:v>结果文件</x:v>
      </x:c>
      <x:c r="B15" s="30" t="str">
        <x:v>04_Simulink物理网络模型\02_结果\RouteA_Cathode_cEGR_Focused\RouteA_Focused_External240kW_VSH_PassiveCEGR_fresh_air_fixed_4J_600s_v02.mat</x:v>
      </x:c>
      <x:c r="C15" s="30"/>
      <x:c r="D15" s="30"/>
      <x:c r="E15" s="30"/>
      <x:c r="F15" s="30"/>
      <x:c r="G15" s="30"/>
      <x:c r="H15" s="30"/>
      <x:c r="I15" s="30"/>
      <x:c r="J15" s="30"/>
      <x:c r="K15" s="30"/>
      <x:c r="L15" s="30"/>
    </x:row>
    <x:row r="16"/>
    <x:row r="17"/>
    <x:row r="18" ht="15" hidden="0" customHeight="1">
      <x:c r="A18" s="11" t="str">
        <x:v>结果解释限制</x:v>
      </x:c>
      <x:c r="B18" s="11"/>
      <x:c r="C18" s="11"/>
      <x:c r="D18" s="11"/>
      <x:c r="E18" s="11"/>
      <x:c r="F18" s="11"/>
      <x:c r="G18" s="11"/>
      <x:c r="H18" s="11"/>
      <x:c r="I18" s="11"/>
      <x:c r="J18" s="11"/>
      <x:c r="K18" s="11"/>
      <x:c r="L18" s="11"/>
    </x:row>
    <x:row r="19" ht="15" hidden="0" customHeight="1">
      <x:c r="A19" s="37" t="str">
        <x:v>可用于</x:v>
      </x:c>
      <x:c r="B19" s="30" t="str">
        <x:v>当前 V-SH 模型范围内的阀门可达性、实际 OER、压力链、气相冷凝筛选和电堆性能趋势比较。</x:v>
      </x:c>
      <x:c r="C19" s="30"/>
      <x:c r="D19" s="30"/>
      <x:c r="E19" s="30"/>
      <x:c r="F19" s="30"/>
      <x:c r="G19" s="30"/>
      <x:c r="H19" s="30"/>
      <x:c r="I19" s="30"/>
      <x:c r="J19" s="30"/>
      <x:c r="K19" s="30"/>
      <x:c r="L19" s="30"/>
    </x:row>
    <x:row r="20" ht="15" hidden="0" customHeight="1">
      <x:c r="A20" s="37" t="str">
        <x:v>不可用于</x:v>
      </x:c>
      <x:c r="B20" s="30" t="str">
        <x:v>阀件额定选型、耐久性、真实分离效率、液水库存、液滴携带、压缩机耐液或整机效率结论。</x:v>
      </x:c>
      <x:c r="C20" s="30"/>
      <x:c r="D20" s="30"/>
      <x:c r="E20" s="30"/>
      <x:c r="F20" s="30"/>
      <x:c r="G20" s="30"/>
      <x:c r="H20" s="30"/>
      <x:c r="I20" s="30"/>
      <x:c r="J20" s="30"/>
      <x:c r="K20" s="30"/>
      <x:c r="L20" s="30"/>
    </x:row>
    <x:row r="21" ht="15" hidden="0" customHeight="1">
      <x:c r="A21" s="37" t="str">
        <x:v>重要提醒</x:v>
      </x:c>
      <x:c r="B21" s="30" t="str">
        <x:v>同一负载的离散 case 可能因温度/混合状态呈现非单调风险；“最大候选 R”不应替代连续包络搜索。</x:v>
      </x:c>
      <x:c r="C21" s="30"/>
      <x:c r="D21" s="30"/>
      <x:c r="E21" s="30"/>
      <x:c r="F21" s="30"/>
      <x:c r="G21" s="30"/>
      <x:c r="H21" s="30"/>
      <x:c r="I21" s="30"/>
      <x:c r="J21" s="30"/>
      <x:c r="K21" s="30"/>
      <x:c r="L21" s="30"/>
    </x:row>
    <x:row r="22" ht="15" hidden="0" customHeight="1">
      <x:c r="A22" s="37" t="str">
        <x:v>水蒸气超额</x:v>
      </x:c>
      <x:c r="B22" s="30" t="str">
        <x:v>优先查看“冷凝机制”中 S、相对超额、冷凝率和积分四列；它们的物理意义已在该页定义。</x:v>
      </x:c>
      <x:c r="C22" s="30"/>
      <x:c r="D22" s="30"/>
      <x:c r="E22" s="30"/>
      <x:c r="F22" s="30"/>
      <x:c r="G22" s="30"/>
      <x:c r="H22" s="30"/>
      <x:c r="I22" s="30"/>
      <x:c r="J22" s="30"/>
      <x:c r="K22" s="30"/>
      <x:c r="L22" s="30"/>
    </x:row>
  </x:sheetData>
  <x:mergeCells>
    <x:mergeCell ref="A1:L1"/>
    <x:mergeCell ref="A2:L2"/>
    <x:mergeCell ref="A4:L4"/>
    <x:mergeCell ref="B5:L5"/>
    <x:mergeCell ref="B6:L6"/>
    <x:mergeCell ref="B7:L7"/>
    <x:mergeCell ref="B8:L8"/>
    <x:mergeCell ref="B9:L9"/>
    <x:mergeCell ref="B10:L10"/>
    <x:mergeCell ref="B11:L11"/>
    <x:mergeCell ref="B12:L12"/>
    <x:mergeCell ref="B13:L13"/>
    <x:mergeCell ref="B14:L14"/>
    <x:mergeCell ref="B15:L15"/>
    <x:mergeCell ref="A18:L18"/>
    <x:mergeCell ref="B19:L19"/>
    <x:mergeCell ref="B20:L20"/>
    <x:mergeCell ref="B21:L21"/>
    <x:mergeCell ref="B22:L22"/>
  </x:mergeCells>
  <x:pageMargins left="0.7" right="0.7" top="0.75" bottom="0.75" header="0.3" footer="0.3"/>
</x:worksheet>
</file>