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agentwork_pemfc_cEGR_main\04_Simulink物理网络模型\02_结果\RouteA_Cathode_cEGR_Focused\outputs\20260818_vsh_cegr_audit\"/>
    </mc:Choice>
  </mc:AlternateContent>
  <xr:revisionPtr revIDLastSave="0" documentId="13_ncr:1_{D1B8332D-B0BD-4980-AC3B-A5F6969C152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01_研究分析" sheetId="1" r:id="rId1"/>
    <sheet name="02_V-SH模型与控制" sheetId="2" r:id="rId2"/>
    <sheet name="03_变量测点与工程建议" sheetId="3" r:id="rId3"/>
    <sheet name="04_冷凝与水汽风险" sheetId="4" r:id="rId4"/>
    <sheet name="附录A_审计明细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56" i="5" l="1"/>
  <c r="AT56" i="5"/>
  <c r="AS56" i="5"/>
  <c r="AR56" i="5"/>
  <c r="AU55" i="5"/>
  <c r="AT55" i="5"/>
  <c r="AS55" i="5"/>
  <c r="AR55" i="5"/>
  <c r="AU54" i="5"/>
  <c r="AT54" i="5"/>
  <c r="AS54" i="5"/>
  <c r="AR54" i="5"/>
  <c r="AU53" i="5"/>
  <c r="AT53" i="5"/>
  <c r="AS53" i="5"/>
  <c r="AR53" i="5"/>
  <c r="AU52" i="5"/>
  <c r="AT52" i="5"/>
  <c r="AS52" i="5"/>
  <c r="AR52" i="5"/>
  <c r="AU51" i="5"/>
  <c r="AT51" i="5"/>
  <c r="AS51" i="5"/>
  <c r="AR51" i="5"/>
  <c r="AU50" i="5"/>
  <c r="AT50" i="5"/>
  <c r="AS50" i="5"/>
  <c r="AR50" i="5"/>
  <c r="AU49" i="5"/>
  <c r="AT49" i="5"/>
  <c r="AS49" i="5"/>
  <c r="AR49" i="5"/>
  <c r="AU48" i="5"/>
  <c r="AT48" i="5"/>
  <c r="AS48" i="5"/>
  <c r="AR48" i="5"/>
  <c r="AU47" i="5"/>
  <c r="AT47" i="5"/>
  <c r="AS47" i="5"/>
  <c r="AR47" i="5"/>
  <c r="AU46" i="5"/>
  <c r="AT46" i="5"/>
  <c r="AS46" i="5"/>
  <c r="AR46" i="5"/>
  <c r="AU45" i="5"/>
  <c r="AT45" i="5"/>
  <c r="AS45" i="5"/>
  <c r="AR45" i="5"/>
  <c r="AU44" i="5"/>
  <c r="AT44" i="5"/>
  <c r="AS44" i="5"/>
  <c r="AR44" i="5"/>
  <c r="AU43" i="5"/>
  <c r="AT43" i="5"/>
  <c r="AS43" i="5"/>
  <c r="AR43" i="5"/>
  <c r="AU42" i="5"/>
  <c r="AT42" i="5"/>
  <c r="AS42" i="5"/>
  <c r="AR42" i="5"/>
  <c r="AU41" i="5"/>
  <c r="AT41" i="5"/>
  <c r="AS41" i="5"/>
  <c r="AR41" i="5"/>
  <c r="AU40" i="5"/>
  <c r="AT40" i="5"/>
  <c r="AS40" i="5"/>
  <c r="AR40" i="5"/>
  <c r="AU39" i="5"/>
  <c r="AT39" i="5"/>
  <c r="AS39" i="5"/>
  <c r="AR39" i="5"/>
  <c r="AU38" i="5"/>
  <c r="AT38" i="5"/>
  <c r="AS38" i="5"/>
  <c r="AR38" i="5"/>
  <c r="AU37" i="5"/>
  <c r="AT37" i="5"/>
  <c r="AS37" i="5"/>
  <c r="AR37" i="5"/>
  <c r="AU36" i="5"/>
  <c r="AT36" i="5"/>
  <c r="AS36" i="5"/>
  <c r="AR36" i="5"/>
  <c r="AU35" i="5"/>
  <c r="AT35" i="5"/>
  <c r="AS35" i="5"/>
  <c r="AR35" i="5"/>
  <c r="AU34" i="5"/>
  <c r="AT34" i="5"/>
  <c r="AS34" i="5"/>
  <c r="AR34" i="5"/>
  <c r="AU33" i="5"/>
  <c r="AT33" i="5"/>
  <c r="AS33" i="5"/>
  <c r="AR33" i="5"/>
  <c r="AU32" i="5"/>
  <c r="AT32" i="5"/>
  <c r="AS32" i="5"/>
  <c r="AR32" i="5"/>
  <c r="AU31" i="5"/>
  <c r="AT31" i="5"/>
  <c r="AS31" i="5"/>
  <c r="AR31" i="5"/>
  <c r="AU30" i="5"/>
  <c r="AT30" i="5"/>
  <c r="AS30" i="5"/>
  <c r="AR30" i="5"/>
  <c r="AU29" i="5"/>
  <c r="AT29" i="5"/>
  <c r="AS29" i="5"/>
  <c r="AR29" i="5"/>
  <c r="AU28" i="5"/>
  <c r="AT28" i="5"/>
  <c r="AS28" i="5"/>
  <c r="AR28" i="5"/>
  <c r="AU27" i="5"/>
  <c r="AT27" i="5"/>
  <c r="AS27" i="5"/>
  <c r="AR27" i="5"/>
  <c r="AU26" i="5"/>
  <c r="AT26" i="5"/>
  <c r="AS26" i="5"/>
  <c r="AR26" i="5"/>
  <c r="AU25" i="5"/>
  <c r="AT25" i="5"/>
  <c r="AS25" i="5"/>
  <c r="AR25" i="5"/>
  <c r="AU24" i="5"/>
  <c r="AT24" i="5"/>
  <c r="AS24" i="5"/>
  <c r="AR24" i="5"/>
  <c r="AU23" i="5"/>
  <c r="AT23" i="5"/>
  <c r="AS23" i="5"/>
  <c r="AR23" i="5"/>
  <c r="AU22" i="5"/>
  <c r="AT22" i="5"/>
  <c r="AS22" i="5"/>
  <c r="AR22" i="5"/>
  <c r="AU21" i="5"/>
  <c r="AT21" i="5"/>
  <c r="AS21" i="5"/>
  <c r="AR21" i="5"/>
  <c r="AU20" i="5"/>
  <c r="AT20" i="5"/>
  <c r="AS20" i="5"/>
  <c r="AR20" i="5"/>
  <c r="AU19" i="5"/>
  <c r="AT19" i="5"/>
  <c r="AS19" i="5"/>
  <c r="AR19" i="5"/>
  <c r="AU18" i="5"/>
  <c r="AT18" i="5"/>
  <c r="AS18" i="5"/>
  <c r="AR18" i="5"/>
  <c r="AU17" i="5"/>
  <c r="AT17" i="5"/>
  <c r="AS17" i="5"/>
  <c r="AR17" i="5"/>
  <c r="AU16" i="5"/>
  <c r="AT16" i="5"/>
  <c r="AS16" i="5"/>
  <c r="AR16" i="5"/>
  <c r="AU15" i="5"/>
  <c r="AT15" i="5"/>
  <c r="AS15" i="5"/>
  <c r="AR15" i="5"/>
  <c r="AU14" i="5"/>
  <c r="AT14" i="5"/>
  <c r="AS14" i="5"/>
  <c r="AR14" i="5"/>
  <c r="AU13" i="5"/>
  <c r="AT13" i="5"/>
  <c r="AS13" i="5"/>
  <c r="AR13" i="5"/>
  <c r="AU12" i="5"/>
  <c r="AT12" i="5"/>
  <c r="AS12" i="5"/>
  <c r="AR12" i="5"/>
  <c r="R11" i="5"/>
  <c r="AU10" i="5"/>
  <c r="AT10" i="5"/>
  <c r="AS10" i="5"/>
  <c r="AR10" i="5"/>
  <c r="AU9" i="5"/>
  <c r="AT9" i="5"/>
  <c r="AS9" i="5"/>
  <c r="AR9" i="5"/>
  <c r="AU8" i="5"/>
  <c r="AT8" i="5"/>
  <c r="AS8" i="5"/>
  <c r="AR8" i="5"/>
  <c r="AU7" i="5"/>
  <c r="AT7" i="5"/>
  <c r="AS7" i="5"/>
  <c r="AR7" i="5"/>
  <c r="AU6" i="5"/>
  <c r="AT6" i="5"/>
  <c r="AS6" i="5"/>
  <c r="AR6" i="5"/>
  <c r="AU5" i="5"/>
  <c r="AT5" i="5"/>
  <c r="AS5" i="5"/>
  <c r="AR5" i="5"/>
</calcChain>
</file>

<file path=xl/sharedStrings.xml><?xml version="1.0" encoding="utf-8"?>
<sst xmlns="http://schemas.openxmlformats.org/spreadsheetml/2006/main" count="1056" uniqueCount="446">
  <si>
    <r>
      <t xml:space="preserve">240 kW V-SH </t>
    </r>
    <r>
      <rPr>
        <b/>
        <sz val="16"/>
        <color rgb="FFFFFFFF"/>
        <rFont val="微软雅黑"/>
        <family val="2"/>
      </rPr>
      <t>自增湿电堆阀门被动 cEGR 工程分析</t>
    </r>
  </si>
  <si>
    <t>240 kW V-SH 自增湿电堆阀门被动 cEGR 工程分析报告</t>
  </si>
  <si>
    <t>阀门被动式阴极尾气循环的自增湿电堆系统</t>
  </si>
  <si>
    <t>用途：为实验人员提供当前 V-SH 阀前理想分流结构、控制变量、测点布置和初步装置选型依据。结论来自当前拓扑 52 个 600 s 气相 case，其中 51 个完整完成，1 个高回流点因氧气耗尽物理不可行而中止。</t>
  </si>
  <si>
    <t>用途：为实验人员提供 V-SH 系统结构、控制变量、测点布置和初步装置选型依据。结论来自 52 个正式 600 s 气相筛选 case；不等同于阀件额定选型、液水耐久或整机效率验证。</t>
  </si>
  <si>
    <t>一、结论</t>
  </si>
  <si>
    <t>一、结论先行：实验装置设计应先抓住的 6 个判断</t>
  </si>
  <si>
    <t>判断</t>
  </si>
  <si>
    <t>解释</t>
  </si>
  <si>
    <t>基线结构</t>
  </si>
  <si>
    <t>R_EGR 的工程含义</t>
  </si>
  <si>
    <t>R_EGR = m_return / m_fresh，是回流质量流量相对新鲜空气质量流量的比值，m_total =m_return+m_fresh；
控制器内部还使用 x_EGR = m_return / m_total = R_EGR/(1+R_EGR)。</t>
  </si>
  <si>
    <t>OER_ref 的工程含义</t>
  </si>
  <si>
    <t>OER_ref 是无 cEGR 基准工况下参考氧过量系数，只用来锚定参考新鲜空气流量，并非空压机流量命令。</t>
  </si>
  <si>
    <t>优先研究窗口</t>
  </si>
  <si>
    <t>高负荷限制</t>
  </si>
  <si>
    <t>高负荷 j=0.4 和 1.0 A/cm²：回流压差明显提高，阀面积需求降低；但高回流仍受 OER、混合器过饱和、冷凝和阀面积边界限制。</t>
  </si>
  <si>
    <t>选型边界</t>
  </si>
  <si>
    <t>二、研究矩阵设计与关键结果</t>
  </si>
  <si>
    <t>进气策略</t>
  </si>
  <si>
    <t>电流密度负荷 j</t>
  </si>
  <si>
    <t>目标 R_EGR</t>
  </si>
  <si>
    <t>目标 R_EGR 怎么扫</t>
  </si>
  <si>
    <t>直接筛选通过的实际 R_EGR 点</t>
  </si>
  <si>
    <t>主要边界/限制</t>
  </si>
  <si>
    <t>给实验人员的结论</t>
  </si>
  <si>
    <t>总流量不变</t>
  </si>
  <si>
    <t>0、0.4、1、2、3、4</t>
  </si>
  <si>
    <t>0、0.4、1、2、3</t>
  </si>
  <si>
    <t>完成 5/6；max S=0.75；min OER=2.127；max阀面积=0.154；max Δp_EGR=40 kPa；R=4 氧气耗尽</t>
  </si>
  <si>
    <t>R=4 时实际 OER_min≈1.00；阀面积≈0.95；无混合器冷凝。</t>
  </si>
  <si>
    <t>当前窗口需排除氧气耗尽点，其余工况按气相筛选结果解释。</t>
  </si>
  <si>
    <t>低负荷优先做总流量不变，可把研究窗口推进到 R_EGR≈3。</t>
  </si>
  <si>
    <t>0、0.26、0.65、1.3、1.95、2.6</t>
  </si>
  <si>
    <t>0、0.26</t>
  </si>
  <si>
    <t>0、0.26、1.95</t>
  </si>
  <si>
    <t>完成 6/6；max S=0.966；min OER=1.116；max阀面积=0.187；max Δp_EGR=55 kPa</t>
  </si>
  <si>
    <t>部分点露点裕度约 0.9–1.1°C，需要温湿度复核；阀面积最高≈0.98。</t>
  </si>
  <si>
    <t>按当前气相筛选结果解释，仍不等同于阀件额定选型或液水耐久验证。</t>
  </si>
  <si>
    <t>仍有回流窗口，但不能只看 R_EGR；必须同步看温度、湿度和露点裕度。</t>
  </si>
  <si>
    <t>0、0.14、0.35、0.7、1.05、1.4</t>
  </si>
  <si>
    <t>0</t>
  </si>
  <si>
    <t>完成 6/6；max S=1.153；min OER=1.08；max阀面积=0.188；max Δp_EGR=70 kPa</t>
  </si>
  <si>
    <t>R≥0.35 出现混合器冷凝；冷凝积分最高约 50.9 mg。</t>
  </si>
  <si>
    <t>当前模型下以无回流或极低回流为主，先解决热湿管理。</t>
  </si>
  <si>
    <t>0、0.08、0.2、0.4、0.6、0.8</t>
  </si>
  <si>
    <t>完成 6/6；max S=1.285；min OER=1.01；max阀面积=0.206；max Δp_EGR=130 kPa</t>
  </si>
  <si>
    <t>R≥0.20 出现混合器冷凝；冷凝积分最高约 65.2 mg。</t>
  </si>
  <si>
    <t>当前不支持高回流，建议先做无 cEGR 基线验证。</t>
  </si>
  <si>
    <t>新鲜空气不变</t>
  </si>
  <si>
    <t>0、0.1、0.5、1、2、4、8</t>
  </si>
  <si>
    <t>0、0.1、0.5、1、2、3.97</t>
  </si>
  <si>
    <t>0、0.1、0.5、1</t>
  </si>
  <si>
    <t>完成 7/7；max S=0.633；min OER=4.997；max阀面积=1；max Δp_EGR=40 kPa</t>
  </si>
  <si>
    <t>目标 R&gt;1 后阀面积达到 1；实际回流在约 1.48 附近平台化，需做跟踪复核。</t>
  </si>
  <si>
    <t>可研究到 R_EGR≈1；更高目标主要是在考察阀容量上限。</t>
  </si>
  <si>
    <t>0、0.1、0.5、1、2、3.94</t>
  </si>
  <si>
    <t>完成 7/7；max S=0.788；min OER=3.598；max阀面积=1；max Δp_EGR=55 kPa</t>
  </si>
  <si>
    <t>目标 R&gt;1 后阀面积达到 1；实际回流在约 1.13 附近平台化。</t>
  </si>
  <si>
    <t>可研究到 R_EGR≈1；R&gt;1 很快进入阀容量边界。</t>
  </si>
  <si>
    <t>0、0.1</t>
  </si>
  <si>
    <t>完成 7/7；max S=1.057；min OER=2.399；max阀面积=1；max Δp_EGR=70 kPa</t>
  </si>
  <si>
    <t>R=0.5 开始出现混合器冷凝；目标 R≥1 后实际回流约 0.91 平台化。</t>
  </si>
  <si>
    <t>建议只把 R≤0.1 作为起步点，后续另做冷凝与阀容量专项。</t>
  </si>
  <si>
    <t>完成 7/7；max S=1.599；min OER=1.799；max阀面积=1；max Δp_EGR=130 kPa</t>
  </si>
  <si>
    <t>R=0.5 开始出现混合器冷凝；目标 R≥1 后实际回流约 0.58 平台化。</t>
  </si>
  <si>
    <t>先做 R=0 基线，高回流不作为当前推荐工况。</t>
  </si>
  <si>
    <t>三、系统结构和控制</t>
  </si>
  <si>
    <t>三、对系统结构和控制的直接建议</t>
  </si>
  <si>
    <t>主题</t>
  </si>
  <si>
    <t>控制</t>
  </si>
  <si>
    <t>控制回路</t>
  </si>
  <si>
    <t>系统硬件</t>
  </si>
  <si>
    <t>阴极公共背压调节阀 +cEGR 二通比例调节阀</t>
  </si>
  <si>
    <t>测点优先级</t>
  </si>
  <si>
    <t>冷凝措施</t>
  </si>
  <si>
    <t>优先通过降低回流、提高回流/混合点温度、降低入口湿度或设置液水分离/排液边界降低风险；当前 L2 结果不代表液滴携带和压缩机耐液能力。</t>
  </si>
  <si>
    <t>V-SH 模型结构、阀门角色与控制逻辑</t>
  </si>
  <si>
    <t>一、当前正式模型的气路拓扑</t>
  </si>
  <si>
    <t>当前基线与后续 W3A 变体分开理解：前者用于本轮 CEGR 工况矩阵，后者作为后续模型重构项。</t>
  </si>
  <si>
    <t>项目</t>
  </si>
  <si>
    <t>说明</t>
  </si>
  <si>
    <t>气路示意</t>
  </si>
  <si>
    <t>分流节点的物理含义</t>
  </si>
  <si>
    <t>压力口径</t>
  </si>
  <si>
    <t>二、阀门和控制器的职责分工</t>
  </si>
  <si>
    <t>功能</t>
  </si>
  <si>
    <t>在系统中的作用</t>
  </si>
  <si>
    <t>选型要点</t>
  </si>
  <si>
    <t>公共背压阀</t>
  </si>
  <si>
    <t>大流量、连续调节、可测阀前/后压力；正常控制执行器。</t>
  </si>
  <si>
    <t>cEGR 阀</t>
  </si>
  <si>
    <t>二通比例气体阀，湿气相兼容、低泄漏、带位置反馈；需要 Kv/Cv 或质量流量图。</t>
  </si>
  <si>
    <t>三、控制变量和约束逻辑</t>
  </si>
  <si>
    <t>环节</t>
  </si>
  <si>
    <t>控制关系</t>
  </si>
  <si>
    <t>实验解释</t>
  </si>
  <si>
    <t>公共背压环</t>
  </si>
  <si>
    <t>cEGR 回流环</t>
  </si>
  <si>
    <t>监督限制器</t>
  </si>
  <si>
    <t>限制器不是物理泵；它只保护可行域和数值稳定性。</t>
  </si>
  <si>
    <t>控制模式差异</t>
  </si>
  <si>
    <t>总流量不变：m_total 固定，m_fresh 与 m_return 此消彼长；新鲜空气不变：m_fresh 固定，m_total 随回流增加。</t>
  </si>
  <si>
    <t>两种模式的 OER 语义必须分开写，OER_ref 只做基准锚点。</t>
  </si>
  <si>
    <t>四、模型边界提醒</t>
  </si>
  <si>
    <t>五、模型边界提醒</t>
  </si>
  <si>
    <t>边界</t>
  </si>
  <si>
    <t>有效面积</t>
  </si>
  <si>
    <t>A_eff/A_fraction 是等效流阻参数，不直接等于真实阀门开度、DN 或 Cv/Kv。</t>
  </si>
  <si>
    <t>气相水</t>
  </si>
  <si>
    <t>当前仅判断饱和度、露点和相变需求，不包含液水库存、液滴携带、排水和压缩机耐液。</t>
  </si>
  <si>
    <t>模型中的变量英文注释、测量位置与工程装置</t>
  </si>
  <si>
    <t>变量英文注释、测量位置与工程装置建议</t>
  </si>
  <si>
    <t>本页面向实验人员：变量名采用模型/结果中的英文语义，测量位置按气路节点给出；“建议精度”是试验仪表规划的起始建议，不是最终校准证书要求。</t>
  </si>
  <si>
    <t>一、变量与测点字典</t>
  </si>
  <si>
    <t>变量</t>
  </si>
  <si>
    <t>定义/公式</t>
  </si>
  <si>
    <t>单位</t>
  </si>
  <si>
    <t>工程用途</t>
  </si>
  <si>
    <t>R_EGR</t>
  </si>
  <si>
    <t>m_return / m_fresh</t>
  </si>
  <si>
    <t>—</t>
  </si>
  <si>
    <t>空压机入口混合器质量流量测点或结果后处理</t>
  </si>
  <si>
    <t>主控制/报告变量；不要写成 OER 命令</t>
  </si>
  <si>
    <t>x_EGR</t>
  </si>
  <si>
    <t>m_return / m_total = R/(1+R)</t>
  </si>
  <si>
    <t>空压机入口混合器入口/出口</t>
  </si>
  <si>
    <t>控制器混合基变量；用于换算 R_EGR</t>
  </si>
  <si>
    <t>OER_ref</t>
  </si>
  <si>
    <t>无 cEGR 基准工况 OER</t>
  </si>
  <si>
    <t>无 cEGR 参考 case 的空压机/入堆流量锚点</t>
  </si>
  <si>
    <t>只确定参考新鲜空气流量</t>
  </si>
  <si>
    <t>OER_actual</t>
  </si>
  <si>
    <t>入堆实际尾窗 OER 的均值/最小值</t>
  </si>
  <si>
    <t>阴极入口/电堆入口后的气体观测链</t>
  </si>
  <si>
    <t>筛选约束；&lt;1 不可取，1–1.2 风险</t>
  </si>
  <si>
    <t>m_fresh</t>
  </si>
  <si>
    <t>新鲜空气质量流量</t>
  </si>
  <si>
    <t>kg/s</t>
  </si>
  <si>
    <t>空压机入口新鲜空气支路</t>
  </si>
  <si>
    <t>两种流量控制策略的区分量</t>
  </si>
  <si>
    <t>m_return</t>
  </si>
  <si>
    <t>cEGR 回流质量流量</t>
  </si>
  <si>
    <t>cEGR 回流支路质量流量传感器</t>
  </si>
  <si>
    <t>回流能力和闭合量</t>
  </si>
  <si>
    <t>m_total</t>
  </si>
  <si>
    <t>m_fresh + m_return</t>
  </si>
  <si>
    <t>压缩机入口混合器/空压机入口</t>
  </si>
  <si>
    <t>新鲜空气不变模式下随回流增加</t>
  </si>
  <si>
    <t>p_stack,out</t>
  </si>
  <si>
    <t>kPa abs</t>
  </si>
  <si>
    <t>电堆阴极出口压力传感器</t>
  </si>
  <si>
    <t>公共背压环主反馈</t>
  </si>
  <si>
    <t>p_split</t>
  </si>
  <si>
    <t>三通/分流歧管处</t>
  </si>
  <si>
    <t>p_egr,up/down</t>
  </si>
  <si>
    <t>cEGR 阀两端 PT 传感器</t>
  </si>
  <si>
    <t>计算 Δp_valve</t>
  </si>
  <si>
    <t>Δp_valve</t>
  </si>
  <si>
    <t>kPa</t>
  </si>
  <si>
    <t>由阀两端 PT 读数计算</t>
  </si>
  <si>
    <t>正值是正向回流方向条件</t>
  </si>
  <si>
    <t>p_comp,in</t>
  </si>
  <si>
    <t>空压机入口/混合器下游</t>
  </si>
  <si>
    <t>回流驱动力的下游边界</t>
  </si>
  <si>
    <t>T_mix / RH_mix</t>
  </si>
  <si>
    <t>°C / %</t>
  </si>
  <si>
    <t>空压机入口混合器</t>
  </si>
  <si>
    <t>计算露点和 S</t>
  </si>
  <si>
    <t>S</t>
  </si>
  <si>
    <t>p_H2O / p_sat(T)</t>
  </si>
  <si>
    <t>混合器、阴极气体、回流管</t>
  </si>
  <si>
    <t>S&gt;1 表示气相过饱和</t>
  </si>
  <si>
    <t>Dew margin</t>
  </si>
  <si>
    <t>T_gas − T_dew</t>
  </si>
  <si>
    <t>°C</t>
  </si>
  <si>
    <t>混合器和关键湿气管路</t>
  </si>
  <si>
    <t>&lt;0°C 为冷凝风险</t>
  </si>
  <si>
    <t>A_eff / A_fraction</t>
  </si>
  <si>
    <t>Local Restriction 等效面积及其相对上限</t>
  </si>
  <si>
    <t>m² / —</t>
  </si>
  <si>
    <t>模型控制器/阀门命令</t>
  </si>
  <si>
    <t>A_fraction≈1 表示模型执行器饱和</t>
  </si>
  <si>
    <t>r_split</t>
  </si>
  <si>
    <t>独立观察量，不替代 R_EGR</t>
  </si>
  <si>
    <t>m_exhaust</t>
  </si>
  <si>
    <t>与 m_return 做流量闭合</t>
  </si>
  <si>
    <t>二、装置选型的半定量建议</t>
  </si>
  <si>
    <t>建议设备类别</t>
  </si>
  <si>
    <t>当前 V-SH 依据/初步范围</t>
  </si>
  <si>
    <t>选型输入与注意事项</t>
  </si>
  <si>
    <t>二通比例气体调节阀（position-feedback modulating valve）</t>
  </si>
  <si>
    <t>当前完整计算点的 m_return 约 0–0.0653 kg/s，局部 Δp_EGR 约 40–130 kPa；等效面积不能直接反推 DN/Cv/Kv。</t>
  </si>
  <si>
    <t>输入 m_dot、p_up/p_down、T、组分、允许泄漏、Cv/Kv 或厂家质量流量图；不能由 A_fraction 直接反推 DN。</t>
  </si>
  <si>
    <t>覆盖全阴极排气流量和目标 p_stack,out；需在低回流和高回流两端都保有调节余量。</t>
  </si>
  <si>
    <t>优先连续调节、阀前/后压力测点、失效位分析；不把它当作 cEGR 阀。</t>
  </si>
  <si>
    <t>三通管/分流歧管</t>
  </si>
  <si>
    <t>承担 1 进 2 出，不主动调流；应尽量减少分流节点到两支路测点之间的不可测容积。</t>
  </si>
  <si>
    <t>给出通径、局部阻力、支路布置和冷凝排液方向；必要时设置低点排液。</t>
  </si>
  <si>
    <t>压力泄放阀</t>
  </si>
  <si>
    <t>独立硬件保护件</t>
  </si>
  <si>
    <t>保护电堆出口和管路超压；不用于常规 R_EGR 控制。</t>
  </si>
  <si>
    <t>单独设定整定压力并校核排放能力。</t>
  </si>
  <si>
    <t>止回阀</t>
  </si>
  <si>
    <t>低开启压差、湿气相兼容</t>
  </si>
  <si>
    <t>降低启停和瞬态倒流风险；会额外引入压降，必须计入回流能力预算。</t>
  </si>
  <si>
    <t>需要 cracking pressure、流阻曲线和耐温/耐湿材料信息。</t>
  </si>
  <si>
    <t>分离/排液部件</t>
  </si>
  <si>
    <t>气液分离器、低点排液或冷凝收集（若实验装置采用）</t>
  </si>
  <si>
    <t>当前模型只给出相变需求，实验装置不能把它直接当作“无液水”。</t>
  </si>
  <si>
    <t>需要允许含液率、分离效率、压降、排液逻辑和空压机进液防护方案。</t>
  </si>
  <si>
    <t>三、实验布置最小测量链</t>
  </si>
  <si>
    <t>测量链</t>
  </si>
  <si>
    <t>用途</t>
  </si>
  <si>
    <t>阴极出口总压链</t>
  </si>
  <si>
    <t>确认 p_stack,out≈p_split，避免把背压设定值误当作 V_EGR 阀前压力。</t>
  </si>
  <si>
    <t>cEGR 支路</t>
  </si>
  <si>
    <t>计算局部 Δp_EGR、密度变化和真实回流能力。</t>
  </si>
  <si>
    <t>排气支路</t>
  </si>
  <si>
    <t>确认 m_return + m_exhaust 与阴极出口总流量闭合。</t>
  </si>
  <si>
    <t>压缩机入口</t>
  </si>
  <si>
    <t>解释空压机入口流量上升、入口湿度和进液风险。</t>
  </si>
  <si>
    <t>压缩机入口混合器冷凝与水汽风险</t>
  </si>
  <si>
    <t>一、风险判据和工程含义</t>
  </si>
  <si>
    <t>等级</t>
  </si>
  <si>
    <t>判据</t>
  </si>
  <si>
    <t>低风险</t>
  </si>
  <si>
    <t>S ≤ 0.95 且露点裕度 ≥ 2°C</t>
  </si>
  <si>
    <t>可作为当前气相筛选中的优先候选，但仍需实验验证。</t>
  </si>
  <si>
    <t>临界</t>
  </si>
  <si>
    <t>0.95 &lt; S ≤ 1.0 或露点裕度 0–2°C</t>
  </si>
  <si>
    <t>需要保留温度/湿度测点并准备降回流或升温策略。</t>
  </si>
  <si>
    <t>有风险</t>
  </si>
  <si>
    <t>S &gt; 1.0、冷凝率 &gt; 0 或露点裕度 &lt; 0°C</t>
  </si>
  <si>
    <t>不宜直接作为无分离/无排液装置的推荐点。</t>
  </si>
  <si>
    <t>工况</t>
  </si>
  <si>
    <t>最大相对超额 (%)</t>
  </si>
  <si>
    <t>最小露点裕度 (°C)</t>
  </si>
  <si>
    <t>最大冷凝积分 (mg)</t>
  </si>
  <si>
    <t>总流量不变-j0p1（R4氧气耗尽）</t>
  </si>
  <si>
    <t>总流量不变-j0p2</t>
  </si>
  <si>
    <t>总流量不变-j0p4</t>
  </si>
  <si>
    <t>总流量不变-j1</t>
  </si>
  <si>
    <t>新鲜空气不变-j0p1</t>
  </si>
  <si>
    <t>新鲜空气不变-j0p2</t>
  </si>
  <si>
    <t>新鲜空气不变-j0p4</t>
  </si>
  <si>
    <t>新鲜空气不变-j1</t>
  </si>
  <si>
    <t>三、工程缓解方向</t>
  </si>
  <si>
    <t>方向</t>
  </si>
  <si>
    <t>建议</t>
  </si>
  <si>
    <t>降低回流</t>
  </si>
  <si>
    <t>先降低 R_EGR 或设置监督限幅，优先保持混合器和阴极气相不超过饱和。</t>
  </si>
  <si>
    <t>提高混合点温度</t>
  </si>
  <si>
    <t>通过回流管/混合器保温或受控预热提高露点裕度；需单独验证温度均匀性和材料耐温。</t>
  </si>
  <si>
    <t>降低新鲜空气湿度</t>
  </si>
  <si>
    <t>在不破坏自增湿研究边界的前提下，控制环境 RH 或增加入口除湿边界。</t>
  </si>
  <si>
    <t>处理液水</t>
  </si>
  <si>
    <t>若实验台出现实际液水，需增加分离、低点排液和空压机进液防护；模型结果不能替代这些硬件。</t>
  </si>
  <si>
    <t>策略</t>
  </si>
  <si>
    <t>Case ID</t>
  </si>
  <si>
    <t>已完成</t>
  </si>
  <si>
    <t>局部数值通过</t>
  </si>
  <si>
    <t>j (A/cm²)</t>
  </si>
  <si>
    <t>无 cEGR 基准 OER_ref</t>
  </si>
  <si>
    <t>实际 R_EGR</t>
  </si>
  <si>
    <t>R 偏差</t>
  </si>
  <si>
    <t>R 容差</t>
  </si>
  <si>
    <t>目标 x_EGR</t>
  </si>
  <si>
    <t>实际 x_EGR</t>
  </si>
  <si>
    <t>m_cEGR (kg/s)</t>
  </si>
  <si>
    <t>实际 OER 均值</t>
  </si>
  <si>
    <t>实际 OER 最小</t>
  </si>
  <si>
    <t>OER 状态</t>
  </si>
  <si>
    <t>单电池电压 (V)</t>
  </si>
  <si>
    <t>阀压差 Δp_valve (kPa, cEGR阀上游−下游)</t>
  </si>
  <si>
    <t>空压机入口压力 p_comp,in (kPa abs)</t>
  </si>
  <si>
    <t>空压机出口压力 p_comp,out (kPa abs)</t>
  </si>
  <si>
    <t>中冷器后压力 p_after_intercooler (kPa abs)</t>
  </si>
  <si>
    <t>阴极通道压力 p_ca,channel (kPa abs)</t>
  </si>
  <si>
    <t>公共背压目标 p_bp,target (kPa abs)</t>
  </si>
  <si>
    <t>阴极出口压力 p_stack,out (kPa abs)</t>
  </si>
  <si>
    <t>入堆 RH</t>
  </si>
  <si>
    <r>
      <t>压缩机入口 pO</t>
    </r>
    <r>
      <rPr>
        <b/>
        <sz val="9"/>
        <color rgb="FFFFFFFF"/>
        <rFont val="Carlito"/>
      </rPr>
      <t>₂</t>
    </r>
    <r>
      <rPr>
        <b/>
        <sz val="9"/>
        <color rgb="FFFFFFFF"/>
        <rFont val="微软雅黑"/>
        <family val="2"/>
      </rPr>
      <t xml:space="preserve"> (kPa abs)</t>
    </r>
  </si>
  <si>
    <t>混合器 T (°C)</t>
  </si>
  <si>
    <t>混合器露点裕度 (°C)</t>
  </si>
  <si>
    <t>混合器相对湿度 S</t>
  </si>
  <si>
    <t>混合器冷凝率 (kg/s)</t>
  </si>
  <si>
    <t>混合器冷凝积分 (kg)</t>
  </si>
  <si>
    <t>混合器相态</t>
  </si>
  <si>
    <t>阴极气体相对湿度 S</t>
  </si>
  <si>
    <t>阴极冷凝率 (kg/s)</t>
  </si>
  <si>
    <t>阴极相态</t>
  </si>
  <si>
    <t>回流管相对湿度 S</t>
  </si>
  <si>
    <t>回流管冷凝率 (kg/s)</t>
  </si>
  <si>
    <t>回流管相态</t>
  </si>
  <si>
    <t>控制跟踪状态</t>
  </si>
  <si>
    <t>综合筛选状态</t>
  </si>
  <si>
    <t>错误 ID</t>
  </si>
  <si>
    <t>水蒸气相对饱和超额 (%)</t>
  </si>
  <si>
    <t>混合器冷凝率 (mg/s)</t>
  </si>
  <si>
    <t>混合器冷凝积分 (mg)</t>
  </si>
  <si>
    <t>出口压力偏差 (kPa)</t>
  </si>
  <si>
    <t>备注/失败说明</t>
  </si>
  <si>
    <t>external240_total_flow_fixed_j0p1_R0p000</t>
  </si>
  <si>
    <t>feasible_above_1p2</t>
  </si>
  <si>
    <t>gas_phase_noncondensing</t>
  </si>
  <si>
    <t>not_applicable_ideal_connection</t>
  </si>
  <si>
    <t>not_applicable_zero_target</t>
  </si>
  <si>
    <t>candidate_feasible_gas_phase_screen</t>
  </si>
  <si>
    <t>external240_total_flow_fixed_j0p1_R0p400</t>
  </si>
  <si>
    <t>within_control_tolerance</t>
  </si>
  <si>
    <t>external240_total_flow_fixed_j0p1_R1p000</t>
  </si>
  <si>
    <t>external240_total_flow_fixed_j0p1_R2p000</t>
  </si>
  <si>
    <t>external240_total_flow_fixed_j0p1_R3p000</t>
  </si>
  <si>
    <t>external240_total_flow_fixed_j0p1_R4p000</t>
  </si>
  <si>
    <t>not_evaluable</t>
  </si>
  <si>
    <t>not_evaluable_failure_before_tail</t>
  </si>
  <si>
    <t>not_acceptable_oxygen_depletion</t>
  </si>
  <si>
    <t>physmod:common:simtypes:assert:Assertion</t>
  </si>
  <si>
    <t>氧气耗尽/物理不可行：约260 s时 OER≈1.005；约265.03 s 触发非负质量分数断言</t>
  </si>
  <si>
    <t>总流量不变·放宽 OER 补算</t>
  </si>
  <si>
    <t>external240_total_flow_fixed_j0p1_R4p000_OER1p1</t>
  </si>
  <si>
    <t>risk_1_to_1p2</t>
  </si>
  <si>
    <t>supplemental_relaxed_OER_behavior_verified</t>
  </si>
  <si>
    <t>独立补算；controller target OER=5.1，actual λ_tail_min=1.115883，R_EGR=4.000000；600 s通过。该点不并入52点正式矩阵；气相 L2，液水库存/输运/排液未闭合。</t>
  </si>
  <si>
    <t>external240_total_flow_fixed_j0p2_R0p000</t>
  </si>
  <si>
    <t>external240_total_flow_fixed_j0p2_R0p260</t>
  </si>
  <si>
    <t>external240_total_flow_fixed_j0p2_R0p650</t>
  </si>
  <si>
    <t>near_saturation_risk</t>
  </si>
  <si>
    <t>risk_review_required</t>
  </si>
  <si>
    <t>external240_total_flow_fixed_j0p2_R1p300</t>
  </si>
  <si>
    <t>condensing_or_supersaturated</t>
  </si>
  <si>
    <t>external240_total_flow_fixed_j0p2_R1p950</t>
  </si>
  <si>
    <t>external240_total_flow_fixed_j0p2_R2p600</t>
  </si>
  <si>
    <t>external240_total_flow_fixed_j0p4_R0p000</t>
  </si>
  <si>
    <t>external240_total_flow_fixed_j0p4_R0p140</t>
  </si>
  <si>
    <t>external240_total_flow_fixed_j0p4_R0p350</t>
  </si>
  <si>
    <t>not_acceptable_mixer_condensation</t>
  </si>
  <si>
    <t>external240_total_flow_fixed_j0p4_R0p700</t>
  </si>
  <si>
    <t>external240_total_flow_fixed_j0p4_R1p050</t>
  </si>
  <si>
    <t>external240_total_flow_fixed_j0p4_R1p400</t>
  </si>
  <si>
    <t>external240_total_flow_fixed_j1p0_R0p000</t>
  </si>
  <si>
    <t>external240_total_flow_fixed_j1p0_R0p080</t>
  </si>
  <si>
    <t>external240_total_flow_fixed_j1p0_R0p200</t>
  </si>
  <si>
    <t>external240_total_flow_fixed_j1p0_R0p400</t>
  </si>
  <si>
    <t>external240_total_flow_fixed_j1p0_R0p600</t>
  </si>
  <si>
    <t>external240_total_flow_fixed_j1p0_R0p800</t>
  </si>
  <si>
    <t>external240_fresh_air_fixed_j0p1_R0p000</t>
  </si>
  <si>
    <t>external240_fresh_air_fixed_j0p1_R0p100</t>
  </si>
  <si>
    <t>external240_fresh_air_fixed_j0p1_R0p500</t>
  </si>
  <si>
    <t>external240_fresh_air_fixed_j0p1_R1p000</t>
  </si>
  <si>
    <t>external240_fresh_air_fixed_j0p1_R2p000</t>
  </si>
  <si>
    <t>external240_fresh_air_fixed_j0p1_R4p000</t>
  </si>
  <si>
    <t>external240_fresh_air_fixed_j0p1_R8p000</t>
  </si>
  <si>
    <t>deviation_valve_area_saturated</t>
  </si>
  <si>
    <t>requires_cegr_tracking_review</t>
  </si>
  <si>
    <t>external240_fresh_air_fixed_j0p2_R0p000</t>
  </si>
  <si>
    <t>external240_fresh_air_fixed_j0p2_R0p100</t>
  </si>
  <si>
    <t>external240_fresh_air_fixed_j0p2_R0p500</t>
  </si>
  <si>
    <t>external240_fresh_air_fixed_j0p2_R1p000</t>
  </si>
  <si>
    <t>external240_fresh_air_fixed_j0p2_R2p000</t>
  </si>
  <si>
    <t>external240_fresh_air_fixed_j0p2_R4p000</t>
  </si>
  <si>
    <t>external240_fresh_air_fixed_j0p2_R8p000</t>
  </si>
  <si>
    <t>external240_fresh_air_fixed_j0p4_R0p000</t>
  </si>
  <si>
    <t>external240_fresh_air_fixed_j0p4_R0p100</t>
  </si>
  <si>
    <t>external240_fresh_air_fixed_j0p4_R0p500</t>
  </si>
  <si>
    <t>external240_fresh_air_fixed_j0p4_R1p000</t>
  </si>
  <si>
    <t>external240_fresh_air_fixed_j0p4_R2p000</t>
  </si>
  <si>
    <t>external240_fresh_air_fixed_j0p4_R4p000</t>
  </si>
  <si>
    <t>external240_fresh_air_fixed_j0p4_R8p000</t>
  </si>
  <si>
    <t>external240_fresh_air_fixed_j1p0_R0p000</t>
  </si>
  <si>
    <t>external240_fresh_air_fixed_j1p0_R0p100</t>
  </si>
  <si>
    <t>external240_fresh_air_fixed_j1p0_R0p500</t>
  </si>
  <si>
    <t>external240_fresh_air_fixed_j1p0_R1p000</t>
  </si>
  <si>
    <t>external240_fresh_air_fixed_j1p0_R2p000</t>
  </si>
  <si>
    <t>external240_fresh_air_fixed_j1p0_R4p000</t>
  </si>
  <si>
    <t>当前正式结构：电堆阴极出口先进入理想分流节点，再并联进入两条支路：V_EGR → 空压机入口混合器 cEGR 口，V_BP → 环境排气。V_BP 负责跟踪 p_bp,target 以维持 p_stack,out；V_EGR 负责跟踪 R_EGR/x_EGR。两阀必须协同控制；本 case 下两支路下游均为 101.325 kPa abs，因此 Δp_BP 与 Δp_EGR 数值接近，但不是同一阀/同一流路。</t>
  </si>
  <si>
    <t>正式矩阵统计保持 52 个 600 s case：总流量不变 23/24 完成，新鲜空气不变 28/28 完成；原 R4 失败如实保留。另有 1 个独立放宽 OER 补算（target OER=5.1，actual λ_min=1.1159）仅用于边界解释，不并入 52 点统计。</t>
  </si>
  <si>
    <t>V_BP 主环控制 p_stack,out→p_bp,target；V_EGR 并行/协同控制 R_EGR 或 x_EGR。监督限制器联动检查两阀 Δp、OER、阀面积、S/露点和压缩机入口风险，先调回流，再保背压。</t>
  </si>
  <si>
    <t>必须测 p_stack,out、p_split、p_EGR,up/down、p_env、p_bp,target、p_comp,in、m_return、m_exhaust、T/RH 和混合器露点；当前模型确认 p_stack,out≈p_split≈p_EGR,up，p_EGR,down≈p_comp,in。</t>
  </si>
  <si>
    <t>V-SH = Valve-passive circulation + Self-humidifying stack。当前正式模型采用“阴极出口后理想分流 + 两阀并联”：V_BP 向环境排气，V_EGR 回到压缩机入口混合器；本矩阵结果不使用旧的阀后分流/公共后边界拓扑。</t>
  </si>
  <si>
    <t>新鲜空气 → 空压机入口混合器 → 空压机 → 中冷器 → PEMFC 电堆阴极 → 电堆阴极出口/理想分流节点；分流后两条并联支路：V_BP → 环境排气，V_EGR → 压缩机入口混合器 cEGR 口。</t>
  </si>
  <si>
    <t>p_bp,target 是公共背压环设定值，不是额外气相节点；稳态时通常跟踪 p_stack,out。当前 case：p_stack,out≈p_split≈p_EGR,up≈141.325 kPa abs，p_EGR,down≈p_comp,in≈p_env≈101.325 kPa abs。Δp_BP=p_split−p_env，Δp_EGR=p_EGR,up−p_EGR,down；因两个下游边界数值相同，本 case 两者均≈40 kPa，但不是同一物理压差路径。</t>
  </si>
  <si>
    <t>V_BP 位于阴极出口分流节点的排气支路，阀后接环境 Reservoir；控制 p_stack,out≈p_bp,target。它不位于分流节点上游，也不把阀后与回流支路串成公共气相边界。</t>
  </si>
  <si>
    <t>V_EGR 位于同一分流节点的回流支路，阀后接 CompressorInletMixer.cEGR；控制 m_return、R_EGR 或 x_EGR。其驱动力来自分流节点与压缩机入口之间的压力差。</t>
  </si>
  <si>
    <t>V_BP 主环：误差 = p_bp,target − p_stack,out；输出 V_BP 有效面积/开度。p_bp,target 是设定值，稳态时跟踪 p_stack,out，不是额外物理边界。</t>
  </si>
  <si>
    <t>优先保证电堆出口压力；与 V_EGR 回流环协调，带上下限和抗积分饱和。</t>
  </si>
  <si>
    <t>V_EGR 协同环：误差 = R_EGR,target − R_EGR（或 x_EGR）；输出 V_EGR 有效面积/开度。可行性受 Δp_EGR、OER、冷凝/露点、压缩机入口边界和面积上限限制；原 R=4 失败，独立 target OER=5.1 补算实际 λ_min=1.1159。</t>
  </si>
  <si>
    <t>两阀要同时工作：V_BP 定压力，V_EGR 定回流；单独开一个阀不能完整调节 cEGR 能力。</t>
  </si>
  <si>
    <t>监督限制器：当任一阀 Δp≤0、V_EGR 面积接近上限、OER&lt;1.2、S&gt;0.95 或露点裕度过低时，降回流/禁止命令，并保留 V_BP 背压控制。</t>
  </si>
  <si>
    <t>实验系统必须区分 p_stack,out、p_split、p_EGR,up、p_EGR,down、p_env、p_bp,target 和 p_comp,in；只测一个压力不能闭合两阀协同控制解释。</t>
  </si>
  <si>
    <t>电堆阴极出口/分流节点共同上游；V_BP、V_EGR 上游</t>
  </si>
  <si>
    <t>阴极出口后的理想分流节点；≈ p_stack,out ≈ p_EGR,up</t>
  </si>
  <si>
    <t>解释共同上游与两支路分流</t>
  </si>
  <si>
    <t>cEGR 阀两端：up=分流节点；down=混合器 cEGR 口</t>
  </si>
  <si>
    <t>Δp_EGR=p_EGR,up−p_EGR,down；另测 Δp_BP=p_split−p_env</t>
  </si>
  <si>
    <t>空压机入口混合点/cEGR 下游；本 case 101.325 kPa abs</t>
  </si>
  <si>
    <t>混合器 T/RH；用于露点和 S</t>
  </si>
  <si>
    <t>m_return/(m_return+m_exhaust)；阴极出口分流两支路观察量</t>
  </si>
  <si>
    <t>阴极出口分流两支路</t>
  </si>
  <si>
    <t>V_BP 阀后至环境排气；与 m_return 做流量闭合</t>
  </si>
  <si>
    <t>V_BP 阀后至环境</t>
  </si>
  <si>
    <t>覆盖全阴极排气流量和目标 p_stack,out；需在低回流和高回流两端都保有调节余量，与 cEGR 阀协同而非替代 cEGR 控制</t>
  </si>
  <si>
    <t>承担 1 进 2 出的阴极出口分流；不主动调流，需给出局部阻力、支路布置和冷凝排液方向</t>
  </si>
  <si>
    <t>p_stack,out≈p_split≈p_EGR,up（同一共同上游节点）；同时测 p_env 和 p_bp,target，避免把设定值误当成阀前压力</t>
  </si>
  <si>
    <t>p_EGR,up、p_EGR,down、T_egr,up/down、m_return；计算局部 Δp_EGR、密度变化和真实回流能力</t>
  </si>
  <si>
    <t>m_exhaust、T、p_env，必要时 RH/含液状态；确认 m_return+m_exhaust 与阴极出口总流量闭合</t>
  </si>
  <si>
    <t>p_comp,in、T_mix、RH_mix、m_total、露点/冷凝状态；解释 cEGR 阀下游边界、空压机入口湿度和进液风险</t>
  </si>
  <si>
    <t>四、240 kW 阀门选型理由、推荐配置参数与询价建议</t>
  </si>
  <si>
    <t>部件</t>
  </si>
  <si>
    <t>选型理由</t>
  </si>
  <si>
    <t>推荐配置参数（240 kW）</t>
  </si>
  <si>
    <t>最大排放流量出现在 R_EGR=0；同时承担 p_stack,out/p_split 背压控制。因此应按全阴极排气流量选型，不能用 cEGR 小流量阀替代；需要与 cEGR 阀协同而不是同开度运行。</t>
  </si>
  <si>
    <t>最大回流出现在 R_EGR=4、x_EGR=0.8；回流能力由分流点到空压机入口的压差、阀阻和支路共同决定。即使两阀局部 Δp 接近，也不能按相同开度或相同流量选型。</t>
  </si>
  <si>
    <t>两阀协同与附属边界</t>
  </si>
  <si>
    <t>V_BP 主环控制 p_stack,out/p_split，V_EGR 环控制 R_EGR 或 x_EGR；两阀共同改变阴极出口排放和回流分配，单独调一个阀不能完整表达 cEGR 能力。</t>
  </si>
  <si>
    <t>至少配置 p_stack,out、p_split、p_EGR,up/down、p_env、p_comp,in、m_return、m_exhaust、T/RH 和露点测点；监督限幅 OER、阀面积、Δp、S 和露点裕度。建议公共背压阀失电偏打开、cEGR 阀失电偏关闭，最终按停机保湿策略确认。</t>
  </si>
  <si>
    <t>询价时同时要求支路阻力、歧管/管路通径、低点排液、止回压降、含液容许和空压机进液防护条件；不得把模型 A_fraction 直接换算为实际 DN、Cv/Kv 或行程。以上是 240 kW 工程初选，尚未升级为产品额定或液水耐久验证。</t>
  </si>
  <si>
    <t>判据：S = p_H2O / p_sat(T)。本页只解释当前气相 L2 模型的饱和/相变需求，不把其扩大为液滴输运、分离效率或压缩机耐液验证；正式 52 点中仍有 1 个总流量固定 j=0.1、R_EGR=4 点因氧气耗尽中止，另有独立放宽 OER 补算实际 λ_min=1.1159 且 600 s 仿真通过。</t>
  </si>
  <si>
    <t>当前正式矩阵的负荷分区摘要（51 个完整 case；1 个氧气耗尽中止点另列；独立补算不并入 52 点统计）</t>
  </si>
  <si>
    <t>失败点/边界补算</t>
  </si>
  <si>
    <t>原正式矩阵：总流量不变-j0.1-R4</t>
  </si>
  <si>
    <t>原工况约260 s OER≈1.005；约265.03 s因阴极气体质量分数越界中止。独立补算：target OER=5.1，实际 λ_min=1.1159，混合器 S=0.7594、冷凝率=0，600 s通过；仍属 OER 1.0–1.2 风险边界，不改写原正式矩阵筛选结论。</t>
  </si>
  <si>
    <t>附录A：当前 V-SH 正确拓扑的 52 个正式 case 原始审计明细 + 1 个独立放宽-OER 补算</t>
  </si>
  <si>
    <t>正式矩阵：总流量不变 23/24 完成、新鲜空气不变 28/28 完成；原失败点按氧气耗尽/物理不可行保留。独立补算结果文件：RouteA_Focused_External240kW_VSH_total_flow_fixed_j0p1_R4p000_OER1p1_600s_20260819.mat</t>
  </si>
  <si>
    <t>阀门详细参数</t>
    <phoneticPr fontId="3" type="noConversion"/>
  </si>
  <si>
    <t>变量名采用模型/结果中的英文语义，测量位置按气路节点给出</t>
  </si>
  <si>
    <t>热湿空气条件下 Cv/Kv–开度–压差曲线，校核 0–0.33 kg/s 和 90–145 kPa 工况；同时确认泄漏等级、失电位、响应时间、驱动电压/接口、噪声与阀体压损。Kvs 仅为初选目标，不能替代厂家气体流量曲线。</t>
    <phoneticPr fontId="3" type="noConversion"/>
  </si>
  <si>
    <t>0–0.264 kg/s、90–145 kPa 压差下的流量曲线、最小稳定流量、可调比和低开度分辨率；确认湿热气体、冷凝液滴、低泄漏、失电关闭、响应时间、驱动与通信接口。当前液水库存/输运/排液尚未建立。</t>
    <phoneticPr fontId="3" type="noConversion"/>
  </si>
  <si>
    <t>低负荷 j=0.1 A/cm²：总流量不变时 R_EGR=0–3 可完整计算并通过当前气相筛选；原 R_EGR=4 在约265 s发生氧气耗尽，仍排除在 52 点正式矩阵之外。独立放宽补算采用 controller target OER=5.1，实际入堆 λ_min=1.1159，600 s 仿真完成且控制/稳态行为验证通过；OER 仍处 1.0–1.2 风险区，该点作为边界补算，不替换原矩阵结论。</t>
    <phoneticPr fontId="3" type="noConversion"/>
  </si>
  <si>
    <t>结论</t>
    <phoneticPr fontId="3" type="noConversion"/>
  </si>
  <si>
    <t>阀面积分数</t>
    <phoneticPr fontId="3" type="noConversion"/>
  </si>
  <si>
    <t>所谓阀面积是等效参数，不是实际阀 DN、Cv/Kv 或行程。当前 CEGR 默认最大等效面积约为 0.001 m²。这可以帮助判断某个候选阀的“有效流通能力是否偏小或偏大”。但把等效面积换算成圆孔直径，只能得到一个等效喉部尺寸，不能等同于阀门公称通径。240 kW 初选按 m_total≈0.33 kg/s、R_EGR≤4、p_up≈0.195–0.245 MPa abs、p_down≈0.090–0.105 MPa abs和热湿气体边界提出连续比例阀参数；正式采购仍需厂家气体流量曲线、泄漏/失电位、冷凝液滴和支路压降确认。</t>
    <phoneticPr fontId="3" type="noConversion"/>
  </si>
  <si>
    <t>三、工程缓解方向</t>
    <phoneticPr fontId="3" type="noConversion"/>
  </si>
  <si>
    <t>最大混合器相对湿度 S（与混合气体温度有关，详情见附录A）</t>
    <phoneticPr fontId="3" type="noConversion"/>
  </si>
  <si>
    <t>当前正式矩阵的负荷分区摘要（51 个完整 case；1 个氧气耗尽中止点另列；独立补算不并入 52 点统计），混合器温度在热力学层面的计算更接近“绝热气体混合腔体温度”</t>
    <phoneticPr fontId="3" type="noConversion"/>
  </si>
  <si>
    <t>压力测量</t>
    <phoneticPr fontId="3" type="noConversion"/>
  </si>
  <si>
    <t>BOP设备和子系统</t>
    <phoneticPr fontId="3" type="noConversion"/>
  </si>
  <si>
    <t>测量量</t>
    <phoneticPr fontId="3" type="noConversion"/>
  </si>
  <si>
    <t>三、模型测量链</t>
    <phoneticPr fontId="3" type="noConversion"/>
  </si>
  <si>
    <t>二、装置的半定量选型</t>
    <phoneticPr fontId="3" type="noConversion"/>
  </si>
  <si>
    <t>测量位置</t>
    <phoneticPr fontId="3" type="noConversion"/>
  </si>
  <si>
    <t>同一气相节点 1 进 2 出；三通/分流歧管本身不主动调流。p_stack,out≈p_split≈p_EGR,up 是两阀共同上游，p_EGR,down≈p_comp,in 是 cEGR 阀下游；两条支路下游边界独立，流量分配由两阀和支路阻力共同决定。</t>
    <phoneticPr fontId="3" type="noConversion"/>
  </si>
  <si>
    <t>1.空压机当前采用“压缩机地图 + 质量流量源 + 压缩机容积”的集总等效模型，通过转速、修正流量和压力比描述气路响应，不考虑其功率。2.阴极出口采用理想分流，管路采用集总化 Pipe/Flow Resistance，可表达一阶压降趋势。3.阳极供氢和热管理采用边界或简化子系统，保证工况条件正确输入即可。</t>
    <phoneticPr fontId="3" type="noConversion"/>
  </si>
  <si>
    <t>设计流量 0–0.33 kg/s；
240 kW下： 额定点约 0.2296 kg/s。上游 0.195–0.245 MPa abs，下游 0.090–0.105 MPa abs，设计压差约 90–145 kPa；热湿气体 50–100 °C，瞬态至少 130 °C。建议 60 mm 级连续比例阀，等效气体 Kvs 目标 ≥50 m³/h，带位置反馈。</t>
    <phoneticPr fontId="3" type="noConversion"/>
  </si>
  <si>
    <t>设计回流流量 0–0.264 kg/s（总流量 0.33 kg/s、R_EGR≤4）；
240 kW下： 额定总流量下回流约 0.184 kg/s。建议先按 60 mm 同平台起步；48 mm 可作为低流量调节优化备选，但须证明满流量裕度。等效气体 Kvs 目标 ≥40 m³/h；连续比例、位置反馈、湿气相兼容。如果只在低负载下使用CEGR可参考附录A内容，设计回路流量约为0.05kg/s。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</si>
</sst>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"/>
    <numFmt numFmtId="178" formatCode="0.000000"/>
  </numFmts>
  <fonts count="20">
    <font>
      <sz val="11"/>
      <name val="Carlito"/>
    </font>
    <font>
      <b/>
      <sz val="9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b/>
      <sz val="16"/>
      <color rgb="FFFFFFFF"/>
      <name val="微软雅黑"/>
      <family val="2"/>
      <charset val="134"/>
    </font>
    <font>
      <b/>
      <sz val="15"/>
      <color rgb="FFFFFFFF"/>
      <name val="微软雅黑"/>
      <family val="2"/>
      <charset val="134"/>
    </font>
    <font>
      <b/>
      <sz val="16"/>
      <color rgb="FFFFFFFF"/>
      <name val="微软雅黑"/>
      <family val="2"/>
    </font>
    <font>
      <b/>
      <sz val="9"/>
      <color rgb="FFFFFFFF"/>
      <name val="微软雅黑"/>
      <family val="2"/>
    </font>
    <font>
      <sz val="11"/>
      <name val="微软雅黑"/>
      <family val="2"/>
    </font>
    <font>
      <i/>
      <sz val="11"/>
      <color rgb="FF1F2937"/>
      <name val="微软雅黑"/>
      <family val="2"/>
    </font>
    <font>
      <b/>
      <sz val="11"/>
      <color rgb="FFFFFFFF"/>
      <name val="微软雅黑"/>
      <family val="2"/>
    </font>
    <font>
      <b/>
      <sz val="10"/>
      <color rgb="FFFFFFFF"/>
      <name val="微软雅黑"/>
      <family val="2"/>
    </font>
    <font>
      <b/>
      <sz val="10"/>
      <color rgb="FF1F2937"/>
      <name val="微软雅黑"/>
      <family val="2"/>
    </font>
    <font>
      <sz val="10"/>
      <color rgb="FF1F2937"/>
      <name val="微软雅黑"/>
      <family val="2"/>
    </font>
    <font>
      <b/>
      <sz val="9"/>
      <color rgb="FF1F2937"/>
      <name val="微软雅黑"/>
      <family val="2"/>
    </font>
    <font>
      <sz val="9"/>
      <color rgb="FF1F2937"/>
      <name val="微软雅黑"/>
      <family val="2"/>
    </font>
    <font>
      <b/>
      <sz val="11"/>
      <color rgb="FF1F2937"/>
      <name val="微软雅黑"/>
      <family val="2"/>
    </font>
    <font>
      <sz val="11"/>
      <color rgb="FF1F2937"/>
      <name val="微软雅黑"/>
      <family val="2"/>
    </font>
    <font>
      <i/>
      <sz val="10"/>
      <color rgb="FF1F2937"/>
      <name val="微软雅黑"/>
      <family val="2"/>
    </font>
    <font>
      <sz val="9"/>
      <name val="微软雅黑"/>
      <family val="2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0F766E"/>
      </patternFill>
    </fill>
    <fill>
      <patternFill patternType="solid">
        <fgColor rgb="FFF2F2F2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EAF2F8"/>
      </patternFill>
    </fill>
    <fill>
      <patternFill patternType="solid">
        <fgColor rgb="FFF2F2F2"/>
      </patternFill>
    </fill>
    <fill>
      <patternFill patternType="solid">
        <fgColor rgb="FF0F766E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2" fillId="0" borderId="0"/>
  </cellStyleXfs>
  <cellXfs count="42">
    <xf numFmtId="0" fontId="0" fillId="0" borderId="0" xfId="0"/>
    <xf numFmtId="0" fontId="8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4" borderId="1" xfId="1" applyFont="1" applyFill="1" applyBorder="1" applyAlignment="1">
      <alignment horizontal="center" vertical="center" wrapText="1"/>
    </xf>
    <xf numFmtId="0" fontId="12" fillId="5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6" borderId="3" xfId="1" applyFont="1" applyFill="1" applyBorder="1" applyAlignment="1">
      <alignment horizontal="center" vertical="center" wrapText="1"/>
    </xf>
    <xf numFmtId="0" fontId="13" fillId="6" borderId="4" xfId="1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6" fontId="15" fillId="0" borderId="1" xfId="1" applyNumberFormat="1" applyFont="1" applyBorder="1" applyAlignment="1">
      <alignment horizontal="center" vertical="center"/>
    </xf>
    <xf numFmtId="177" fontId="15" fillId="0" borderId="1" xfId="1" applyNumberFormat="1" applyFont="1" applyBorder="1" applyAlignment="1">
      <alignment horizontal="center" vertical="center"/>
    </xf>
    <xf numFmtId="178" fontId="15" fillId="0" borderId="1" xfId="1" applyNumberFormat="1" applyFont="1" applyBorder="1" applyAlignment="1">
      <alignment horizontal="center" vertical="center"/>
    </xf>
    <xf numFmtId="2" fontId="15" fillId="0" borderId="1" xfId="1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7" fontId="13" fillId="0" borderId="1" xfId="1" applyNumberFormat="1" applyFont="1" applyBorder="1" applyAlignment="1">
      <alignment horizontal="center" vertical="center" wrapText="1"/>
    </xf>
    <xf numFmtId="2" fontId="13" fillId="0" borderId="1" xfId="1" applyNumberFormat="1" applyFont="1" applyBorder="1" applyAlignment="1">
      <alignment horizontal="center" vertical="center" wrapText="1"/>
    </xf>
    <xf numFmtId="176" fontId="13" fillId="0" borderId="1" xfId="1" applyNumberFormat="1" applyFont="1" applyBorder="1" applyAlignment="1">
      <alignment horizontal="center" vertical="center" wrapText="1"/>
    </xf>
    <xf numFmtId="0" fontId="10" fillId="10" borderId="0" xfId="0" applyFont="1" applyFill="1" applyAlignment="1">
      <alignment horizontal="left" vertical="center" wrapText="1"/>
    </xf>
    <xf numFmtId="0" fontId="4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9" fillId="3" borderId="0" xfId="1" applyFont="1" applyFill="1" applyAlignment="1">
      <alignment horizontal="center" vertical="center" wrapText="1"/>
    </xf>
    <xf numFmtId="0" fontId="10" fillId="4" borderId="0" xfId="1" applyFont="1" applyFill="1" applyAlignment="1">
      <alignment horizontal="left" vertical="center" wrapText="1"/>
    </xf>
    <xf numFmtId="0" fontId="10" fillId="4" borderId="0" xfId="1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2" fillId="6" borderId="2" xfId="1" applyFont="1" applyFill="1" applyBorder="1" applyAlignment="1">
      <alignment horizontal="left" vertical="center" wrapText="1"/>
    </xf>
    <xf numFmtId="0" fontId="12" fillId="6" borderId="3" xfId="1" applyFont="1" applyFill="1" applyBorder="1" applyAlignment="1">
      <alignment horizontal="left" vertical="center" wrapText="1"/>
    </xf>
    <xf numFmtId="0" fontId="5" fillId="2" borderId="0" xfId="1" applyFont="1" applyFill="1" applyAlignment="1">
      <alignment horizontal="center" vertical="center" wrapText="1"/>
    </xf>
    <xf numFmtId="0" fontId="18" fillId="3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3"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072ea4648fe44a2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612866</xdr:colOff>
      <xdr:row>4</xdr:row>
      <xdr:rowOff>142603</xdr:rowOff>
    </xdr:from>
    <xdr:ext cx="13335000" cy="5619750"/>
    <xdr:pic>
      <xdr:nvPicPr>
        <xdr:cNvPr id="2" name="e9e28f1e-460a-4176-9751-9fed3cd2fc1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3209" y="1231174"/>
          <a:ext cx="13335000" cy="5619750"/>
        </a:xfrm>
        <a:prstGeom prst="rect">
          <a:avLst/>
        </a:prstGeom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showGridLines="0" workbookViewId="0">
      <selection activeCell="B9" sqref="B9"/>
    </sheetView>
  </sheetViews>
  <sheetFormatPr defaultRowHeight="15.6"/>
  <cols>
    <col min="1" max="1" width="24" style="2" customWidth="1"/>
    <col min="2" max="2" width="86.296875" style="2" customWidth="1"/>
    <col min="3" max="9" width="15" style="2" customWidth="1"/>
    <col min="10" max="11" width="18" style="2" customWidth="1"/>
    <col min="12" max="12" width="22" style="2" customWidth="1"/>
    <col min="13" max="16384" width="8.796875" style="2"/>
  </cols>
  <sheetData>
    <row r="1" spans="1:16" ht="19.2" customHeight="1">
      <c r="A1" s="26" t="s">
        <v>0</v>
      </c>
      <c r="B1" s="26" t="s">
        <v>1</v>
      </c>
      <c r="C1" s="26" t="s">
        <v>1</v>
      </c>
      <c r="D1" s="26" t="s">
        <v>1</v>
      </c>
      <c r="E1" s="26" t="s">
        <v>1</v>
      </c>
      <c r="F1" s="26" t="s">
        <v>1</v>
      </c>
      <c r="G1" s="26" t="s">
        <v>1</v>
      </c>
      <c r="H1" s="26" t="s">
        <v>1</v>
      </c>
      <c r="I1" s="26" t="s">
        <v>1</v>
      </c>
      <c r="J1" s="26" t="s">
        <v>1</v>
      </c>
      <c r="K1" s="26" t="s">
        <v>1</v>
      </c>
      <c r="L1" s="26" t="s">
        <v>1</v>
      </c>
      <c r="M1" s="1"/>
      <c r="N1" s="1"/>
      <c r="O1" s="1"/>
      <c r="P1" s="1"/>
    </row>
    <row r="2" spans="1:16" ht="15" customHeight="1">
      <c r="A2" s="28" t="s">
        <v>2</v>
      </c>
      <c r="B2" s="28" t="s">
        <v>3</v>
      </c>
      <c r="C2" s="28" t="s">
        <v>4</v>
      </c>
      <c r="D2" s="28" t="s">
        <v>4</v>
      </c>
      <c r="E2" s="28" t="s">
        <v>4</v>
      </c>
      <c r="F2" s="28" t="s">
        <v>4</v>
      </c>
      <c r="G2" s="28" t="s">
        <v>4</v>
      </c>
      <c r="H2" s="28" t="s">
        <v>4</v>
      </c>
      <c r="I2" s="28" t="s">
        <v>4</v>
      </c>
      <c r="J2" s="28" t="s">
        <v>4</v>
      </c>
      <c r="K2" s="28" t="s">
        <v>4</v>
      </c>
      <c r="L2" s="28" t="s">
        <v>4</v>
      </c>
      <c r="M2" s="1"/>
      <c r="N2" s="1"/>
      <c r="O2" s="1"/>
      <c r="P2" s="1"/>
    </row>
    <row r="3" spans="1:1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" customHeight="1">
      <c r="A4" s="29" t="s">
        <v>5</v>
      </c>
      <c r="B4" s="29" t="s">
        <v>6</v>
      </c>
      <c r="C4" s="29" t="s">
        <v>6</v>
      </c>
      <c r="D4" s="29" t="s">
        <v>6</v>
      </c>
      <c r="E4" s="29" t="s">
        <v>6</v>
      </c>
      <c r="F4" s="29" t="s">
        <v>6</v>
      </c>
      <c r="G4" s="29" t="s">
        <v>6</v>
      </c>
      <c r="H4" s="29" t="s">
        <v>6</v>
      </c>
      <c r="I4" s="29" t="s">
        <v>6</v>
      </c>
      <c r="J4" s="29" t="s">
        <v>6</v>
      </c>
      <c r="K4" s="29" t="s">
        <v>6</v>
      </c>
      <c r="L4" s="29" t="s">
        <v>6</v>
      </c>
      <c r="M4" s="1"/>
      <c r="N4" s="1"/>
      <c r="O4" s="1"/>
      <c r="P4" s="1"/>
    </row>
    <row r="5" spans="1:16" ht="15" customHeight="1">
      <c r="A5" s="3" t="s">
        <v>7</v>
      </c>
      <c r="B5" s="3" t="s">
        <v>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76.2" customHeight="1">
      <c r="A6" s="4" t="s">
        <v>9</v>
      </c>
      <c r="B6" s="5" t="s">
        <v>376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46.2" customHeight="1">
      <c r="A7" s="4" t="s">
        <v>10</v>
      </c>
      <c r="B7" s="5" t="s">
        <v>11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46.2" customHeight="1">
      <c r="A8" s="4" t="s">
        <v>12</v>
      </c>
      <c r="B8" s="5" t="s">
        <v>13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72.599999999999994" customHeight="1">
      <c r="A9" s="4" t="s">
        <v>14</v>
      </c>
      <c r="B9" s="5" t="s">
        <v>429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49.2" customHeight="1">
      <c r="A10" s="4" t="s">
        <v>15</v>
      </c>
      <c r="B10" s="5" t="s">
        <v>16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87" customHeight="1">
      <c r="A11" s="4" t="s">
        <v>17</v>
      </c>
      <c r="B11" s="5" t="s">
        <v>432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2.05" customHeight="1">
      <c r="A13" s="31" t="s">
        <v>18</v>
      </c>
      <c r="B13" s="31" t="s">
        <v>18</v>
      </c>
      <c r="C13" s="31" t="s">
        <v>18</v>
      </c>
      <c r="D13" s="31" t="s">
        <v>18</v>
      </c>
      <c r="E13" s="31" t="s">
        <v>18</v>
      </c>
      <c r="F13" s="31" t="s">
        <v>18</v>
      </c>
      <c r="G13" s="31" t="s">
        <v>18</v>
      </c>
      <c r="H13" s="31" t="s">
        <v>18</v>
      </c>
      <c r="I13" s="31" t="s">
        <v>18</v>
      </c>
      <c r="J13" s="31" t="s">
        <v>18</v>
      </c>
      <c r="K13" s="31" t="s">
        <v>18</v>
      </c>
      <c r="L13" s="31" t="s">
        <v>18</v>
      </c>
      <c r="M13" s="1"/>
      <c r="N13" s="1"/>
      <c r="O13" s="1"/>
      <c r="P13" s="1"/>
    </row>
    <row r="14" spans="1:16" ht="72" customHeight="1">
      <c r="A14" s="32" t="s">
        <v>377</v>
      </c>
      <c r="B14" s="33" t="s">
        <v>377</v>
      </c>
      <c r="C14" s="33" t="s">
        <v>377</v>
      </c>
      <c r="D14" s="33" t="s">
        <v>377</v>
      </c>
      <c r="E14" s="33" t="s">
        <v>377</v>
      </c>
      <c r="F14" s="33" t="s">
        <v>377</v>
      </c>
      <c r="G14" s="33" t="s">
        <v>377</v>
      </c>
      <c r="H14" s="33" t="s">
        <v>377</v>
      </c>
      <c r="I14" s="33" t="s">
        <v>377</v>
      </c>
      <c r="J14" s="33" t="s">
        <v>377</v>
      </c>
      <c r="K14" s="33" t="s">
        <v>377</v>
      </c>
      <c r="L14" s="34" t="s">
        <v>377</v>
      </c>
      <c r="M14" s="1"/>
      <c r="N14" s="1"/>
      <c r="O14" s="1"/>
      <c r="P14" s="1"/>
    </row>
    <row r="15" spans="1:16" ht="36" customHeight="1">
      <c r="A15" s="35" t="s">
        <v>19</v>
      </c>
      <c r="B15" s="35" t="s">
        <v>19</v>
      </c>
      <c r="C15" s="6" t="s">
        <v>20</v>
      </c>
      <c r="D15" s="35" t="s">
        <v>21</v>
      </c>
      <c r="E15" s="35" t="s">
        <v>22</v>
      </c>
      <c r="F15" s="35" t="s">
        <v>23</v>
      </c>
      <c r="G15" s="35" t="s">
        <v>23</v>
      </c>
      <c r="H15" s="35" t="s">
        <v>24</v>
      </c>
      <c r="I15" s="35" t="s">
        <v>24</v>
      </c>
      <c r="J15" s="35" t="s">
        <v>430</v>
      </c>
      <c r="K15" s="35" t="s">
        <v>25</v>
      </c>
      <c r="L15" s="35" t="s">
        <v>25</v>
      </c>
      <c r="M15" s="1"/>
      <c r="N15" s="1"/>
      <c r="O15" s="1"/>
      <c r="P15" s="1"/>
    </row>
    <row r="16" spans="1:16" ht="52.05" customHeight="1">
      <c r="A16" s="36" t="s">
        <v>26</v>
      </c>
      <c r="B16" s="36" t="s">
        <v>26</v>
      </c>
      <c r="C16" s="7">
        <v>0.1</v>
      </c>
      <c r="D16" s="37" t="s">
        <v>27</v>
      </c>
      <c r="E16" s="37" t="s">
        <v>27</v>
      </c>
      <c r="F16" s="37" t="s">
        <v>28</v>
      </c>
      <c r="G16" s="37" t="s">
        <v>28</v>
      </c>
      <c r="H16" s="37" t="s">
        <v>29</v>
      </c>
      <c r="I16" s="37" t="s">
        <v>30</v>
      </c>
      <c r="J16" s="37" t="s">
        <v>31</v>
      </c>
      <c r="K16" s="37" t="s">
        <v>32</v>
      </c>
      <c r="L16" s="37" t="s">
        <v>32</v>
      </c>
      <c r="M16" s="1"/>
      <c r="N16" s="1"/>
      <c r="O16" s="1"/>
      <c r="P16" s="1"/>
    </row>
    <row r="17" spans="1:16" ht="52.05" customHeight="1">
      <c r="A17" s="36" t="s">
        <v>26</v>
      </c>
      <c r="B17" s="36" t="s">
        <v>26</v>
      </c>
      <c r="C17" s="7">
        <v>0.2</v>
      </c>
      <c r="D17" s="37" t="s">
        <v>33</v>
      </c>
      <c r="E17" s="37" t="s">
        <v>33</v>
      </c>
      <c r="F17" s="37" t="s">
        <v>34</v>
      </c>
      <c r="G17" s="37" t="s">
        <v>35</v>
      </c>
      <c r="H17" s="37" t="s">
        <v>36</v>
      </c>
      <c r="I17" s="37" t="s">
        <v>37</v>
      </c>
      <c r="J17" s="37" t="s">
        <v>38</v>
      </c>
      <c r="K17" s="37" t="s">
        <v>39</v>
      </c>
      <c r="L17" s="37" t="s">
        <v>39</v>
      </c>
      <c r="M17" s="1"/>
      <c r="N17" s="1"/>
      <c r="O17" s="1"/>
      <c r="P17" s="1"/>
    </row>
    <row r="18" spans="1:16" ht="52.05" customHeight="1">
      <c r="A18" s="36" t="s">
        <v>26</v>
      </c>
      <c r="B18" s="36" t="s">
        <v>26</v>
      </c>
      <c r="C18" s="7">
        <v>0.4</v>
      </c>
      <c r="D18" s="37" t="s">
        <v>40</v>
      </c>
      <c r="E18" s="37" t="s">
        <v>40</v>
      </c>
      <c r="F18" s="37" t="s">
        <v>41</v>
      </c>
      <c r="G18" s="37" t="s">
        <v>41</v>
      </c>
      <c r="H18" s="37" t="s">
        <v>42</v>
      </c>
      <c r="I18" s="37" t="s">
        <v>43</v>
      </c>
      <c r="J18" s="37" t="s">
        <v>38</v>
      </c>
      <c r="K18" s="37" t="s">
        <v>44</v>
      </c>
      <c r="L18" s="37" t="s">
        <v>44</v>
      </c>
      <c r="M18" s="1"/>
      <c r="N18" s="1"/>
      <c r="O18" s="1"/>
      <c r="P18" s="1"/>
    </row>
    <row r="19" spans="1:16" ht="52.05" customHeight="1">
      <c r="A19" s="36" t="s">
        <v>26</v>
      </c>
      <c r="B19" s="36" t="s">
        <v>26</v>
      </c>
      <c r="C19" s="7">
        <v>1</v>
      </c>
      <c r="D19" s="37" t="s">
        <v>45</v>
      </c>
      <c r="E19" s="37" t="s">
        <v>45</v>
      </c>
      <c r="F19" s="37" t="s">
        <v>41</v>
      </c>
      <c r="G19" s="37" t="s">
        <v>41</v>
      </c>
      <c r="H19" s="37" t="s">
        <v>46</v>
      </c>
      <c r="I19" s="37" t="s">
        <v>47</v>
      </c>
      <c r="J19" s="37" t="s">
        <v>38</v>
      </c>
      <c r="K19" s="37" t="s">
        <v>48</v>
      </c>
      <c r="L19" s="37" t="s">
        <v>48</v>
      </c>
      <c r="M19" s="1"/>
      <c r="N19" s="1"/>
      <c r="O19" s="1"/>
      <c r="P19" s="1"/>
    </row>
    <row r="20" spans="1:16" ht="52.05" customHeight="1">
      <c r="A20" s="36" t="s">
        <v>49</v>
      </c>
      <c r="B20" s="36" t="s">
        <v>49</v>
      </c>
      <c r="C20" s="7">
        <v>0.1</v>
      </c>
      <c r="D20" s="37" t="s">
        <v>50</v>
      </c>
      <c r="E20" s="37" t="s">
        <v>50</v>
      </c>
      <c r="F20" s="37" t="s">
        <v>51</v>
      </c>
      <c r="G20" s="37" t="s">
        <v>52</v>
      </c>
      <c r="H20" s="37" t="s">
        <v>53</v>
      </c>
      <c r="I20" s="37" t="s">
        <v>54</v>
      </c>
      <c r="J20" s="37" t="s">
        <v>38</v>
      </c>
      <c r="K20" s="37" t="s">
        <v>55</v>
      </c>
      <c r="L20" s="37" t="s">
        <v>55</v>
      </c>
      <c r="M20" s="1"/>
      <c r="N20" s="1"/>
      <c r="O20" s="1"/>
      <c r="P20" s="1"/>
    </row>
    <row r="21" spans="1:16" ht="52.05" customHeight="1">
      <c r="A21" s="36" t="s">
        <v>49</v>
      </c>
      <c r="B21" s="36" t="s">
        <v>49</v>
      </c>
      <c r="C21" s="7">
        <v>0.2</v>
      </c>
      <c r="D21" s="37" t="s">
        <v>50</v>
      </c>
      <c r="E21" s="37" t="s">
        <v>50</v>
      </c>
      <c r="F21" s="37" t="s">
        <v>56</v>
      </c>
      <c r="G21" s="37" t="s">
        <v>52</v>
      </c>
      <c r="H21" s="37" t="s">
        <v>57</v>
      </c>
      <c r="I21" s="37" t="s">
        <v>58</v>
      </c>
      <c r="J21" s="37" t="s">
        <v>38</v>
      </c>
      <c r="K21" s="37" t="s">
        <v>59</v>
      </c>
      <c r="L21" s="37" t="s">
        <v>59</v>
      </c>
      <c r="M21" s="1"/>
      <c r="N21" s="1"/>
      <c r="O21" s="1"/>
      <c r="P21" s="1"/>
    </row>
    <row r="22" spans="1:16" ht="52.05" customHeight="1">
      <c r="A22" s="36" t="s">
        <v>49</v>
      </c>
      <c r="B22" s="36" t="s">
        <v>49</v>
      </c>
      <c r="C22" s="7">
        <v>0.4</v>
      </c>
      <c r="D22" s="37" t="s">
        <v>50</v>
      </c>
      <c r="E22" s="37" t="s">
        <v>50</v>
      </c>
      <c r="F22" s="37" t="s">
        <v>60</v>
      </c>
      <c r="G22" s="37" t="s">
        <v>60</v>
      </c>
      <c r="H22" s="37" t="s">
        <v>61</v>
      </c>
      <c r="I22" s="37" t="s">
        <v>62</v>
      </c>
      <c r="J22" s="37" t="s">
        <v>38</v>
      </c>
      <c r="K22" s="37" t="s">
        <v>63</v>
      </c>
      <c r="L22" s="37" t="s">
        <v>63</v>
      </c>
      <c r="M22" s="1"/>
      <c r="N22" s="1"/>
      <c r="O22" s="1"/>
      <c r="P22" s="1"/>
    </row>
    <row r="23" spans="1:16" ht="52.05" customHeight="1">
      <c r="A23" s="36" t="s">
        <v>49</v>
      </c>
      <c r="B23" s="36" t="s">
        <v>49</v>
      </c>
      <c r="C23" s="7">
        <v>1</v>
      </c>
      <c r="D23" s="37" t="s">
        <v>50</v>
      </c>
      <c r="E23" s="37" t="s">
        <v>50</v>
      </c>
      <c r="F23" s="37" t="s">
        <v>41</v>
      </c>
      <c r="G23" s="37" t="s">
        <v>41</v>
      </c>
      <c r="H23" s="37" t="s">
        <v>64</v>
      </c>
      <c r="I23" s="37" t="s">
        <v>65</v>
      </c>
      <c r="J23" s="37" t="s">
        <v>38</v>
      </c>
      <c r="K23" s="37" t="s">
        <v>66</v>
      </c>
      <c r="L23" s="37" t="s">
        <v>66</v>
      </c>
      <c r="M23" s="1"/>
      <c r="N23" s="1"/>
      <c r="O23" s="1"/>
      <c r="P23" s="1"/>
    </row>
    <row r="24" spans="1:16" ht="15" customHeight="1">
      <c r="A24" s="30" t="s">
        <v>67</v>
      </c>
      <c r="B24" s="30" t="s">
        <v>68</v>
      </c>
      <c r="C24" s="30" t="s">
        <v>68</v>
      </c>
      <c r="D24" s="30" t="s">
        <v>68</v>
      </c>
      <c r="E24" s="30" t="s">
        <v>68</v>
      </c>
      <c r="F24" s="30" t="s">
        <v>68</v>
      </c>
      <c r="G24" s="30" t="s">
        <v>68</v>
      </c>
      <c r="H24" s="30" t="s">
        <v>68</v>
      </c>
      <c r="I24" s="30" t="s">
        <v>68</v>
      </c>
      <c r="J24" s="30" t="s">
        <v>68</v>
      </c>
      <c r="K24" s="30" t="s">
        <v>68</v>
      </c>
      <c r="L24" s="30" t="s">
        <v>68</v>
      </c>
      <c r="M24" s="1"/>
      <c r="N24" s="1"/>
      <c r="O24" s="1"/>
      <c r="P24" s="1"/>
    </row>
    <row r="25" spans="1:16" ht="23.4" customHeight="1">
      <c r="A25" s="3" t="s">
        <v>69</v>
      </c>
      <c r="B25" s="3" t="s">
        <v>70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40.200000000000003" customHeight="1">
      <c r="A26" s="4" t="s">
        <v>71</v>
      </c>
      <c r="B26" s="5" t="s">
        <v>378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36" customHeight="1">
      <c r="A27" s="4" t="s">
        <v>72</v>
      </c>
      <c r="B27" s="5" t="s">
        <v>73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44.4" customHeight="1">
      <c r="A28" s="4" t="s">
        <v>74</v>
      </c>
      <c r="B28" s="5" t="s">
        <v>379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49.2" customHeight="1">
      <c r="A29" s="4" t="s">
        <v>75</v>
      </c>
      <c r="B29" s="5" t="s">
        <v>76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57.6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5" customHeight="1">
      <c r="A32" s="1"/>
      <c r="B32" s="1"/>
      <c r="C32" s="1"/>
      <c r="D32" s="1"/>
    </row>
    <row r="33" spans="1:4" ht="15" customHeight="1">
      <c r="A33" s="1"/>
      <c r="B33" s="1"/>
      <c r="C33" s="1"/>
      <c r="D33" s="1"/>
    </row>
    <row r="34" spans="1:4" ht="15" customHeight="1">
      <c r="A34" s="1"/>
      <c r="B34" s="1"/>
      <c r="C34" s="1"/>
      <c r="D34" s="1"/>
    </row>
    <row r="35" spans="1:4" ht="15" customHeight="1">
      <c r="A35" s="1"/>
      <c r="B35" s="1"/>
      <c r="C35" s="1"/>
      <c r="D35" s="1"/>
    </row>
    <row r="36" spans="1:4" ht="15" customHeight="1">
      <c r="A36" s="1"/>
      <c r="B36" s="1"/>
      <c r="C36" s="1"/>
      <c r="D36" s="1"/>
    </row>
  </sheetData>
  <mergeCells count="51">
    <mergeCell ref="A23:B23"/>
    <mergeCell ref="D23:E23"/>
    <mergeCell ref="F23:G23"/>
    <mergeCell ref="H23:I23"/>
    <mergeCell ref="J23:L23"/>
    <mergeCell ref="A22:B22"/>
    <mergeCell ref="D22:E22"/>
    <mergeCell ref="F22:G22"/>
    <mergeCell ref="H22:I22"/>
    <mergeCell ref="J22:L22"/>
    <mergeCell ref="A21:B21"/>
    <mergeCell ref="D21:E21"/>
    <mergeCell ref="F21:G21"/>
    <mergeCell ref="H21:I21"/>
    <mergeCell ref="J21:L21"/>
    <mergeCell ref="A20:B20"/>
    <mergeCell ref="D20:E20"/>
    <mergeCell ref="F20:G20"/>
    <mergeCell ref="H20:I20"/>
    <mergeCell ref="J20:L20"/>
    <mergeCell ref="A19:B19"/>
    <mergeCell ref="D19:E19"/>
    <mergeCell ref="F19:G19"/>
    <mergeCell ref="H19:I19"/>
    <mergeCell ref="J19:L19"/>
    <mergeCell ref="A18:B18"/>
    <mergeCell ref="D18:E18"/>
    <mergeCell ref="F18:G18"/>
    <mergeCell ref="H18:I18"/>
    <mergeCell ref="J18:L18"/>
    <mergeCell ref="A17:B17"/>
    <mergeCell ref="D17:E17"/>
    <mergeCell ref="F17:G17"/>
    <mergeCell ref="H17:I17"/>
    <mergeCell ref="J17:L17"/>
    <mergeCell ref="A1:L1"/>
    <mergeCell ref="A2:L2"/>
    <mergeCell ref="A4:L4"/>
    <mergeCell ref="A24:L24"/>
    <mergeCell ref="A13:L13"/>
    <mergeCell ref="A14:L14"/>
    <mergeCell ref="A15:B15"/>
    <mergeCell ref="D15:E15"/>
    <mergeCell ref="F15:G15"/>
    <mergeCell ref="H15:I15"/>
    <mergeCell ref="J15:L15"/>
    <mergeCell ref="A16:B16"/>
    <mergeCell ref="D16:E16"/>
    <mergeCell ref="F16:G16"/>
    <mergeCell ref="H16:I16"/>
    <mergeCell ref="J16:L16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54"/>
  <sheetViews>
    <sheetView showGridLines="0" topLeftCell="C1" zoomScale="70" zoomScaleNormal="70" workbookViewId="0">
      <selection activeCell="B28" sqref="B28"/>
    </sheetView>
  </sheetViews>
  <sheetFormatPr defaultRowHeight="15.6"/>
  <cols>
    <col min="1" max="1" width="24" style="2" customWidth="1"/>
    <col min="2" max="2" width="78.8984375" style="2" customWidth="1"/>
    <col min="3" max="3" width="34" style="2" customWidth="1"/>
    <col min="4" max="4" width="56" style="2" customWidth="1"/>
    <col min="5" max="5" width="58" style="2" customWidth="1"/>
    <col min="6" max="8" width="16" style="2" customWidth="1"/>
    <col min="9" max="33" width="8.796875" style="2"/>
    <col min="34" max="37" width="22" style="2" customWidth="1"/>
    <col min="38" max="16384" width="8.796875" style="2"/>
  </cols>
  <sheetData>
    <row r="1" spans="1:47" ht="19.2" customHeight="1">
      <c r="A1" s="26" t="s">
        <v>77</v>
      </c>
      <c r="B1" s="26" t="s">
        <v>77</v>
      </c>
      <c r="C1" s="26" t="s">
        <v>77</v>
      </c>
      <c r="D1" s="26" t="s">
        <v>77</v>
      </c>
      <c r="E1" s="26" t="s">
        <v>77</v>
      </c>
      <c r="F1" s="26" t="s">
        <v>77</v>
      </c>
      <c r="G1" s="26" t="s">
        <v>77</v>
      </c>
      <c r="H1" s="26" t="s">
        <v>77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5" customHeight="1">
      <c r="A2" s="28" t="s">
        <v>380</v>
      </c>
      <c r="B2" s="28" t="s">
        <v>380</v>
      </c>
      <c r="C2" s="28" t="s">
        <v>380</v>
      </c>
      <c r="D2" s="28" t="s">
        <v>380</v>
      </c>
      <c r="E2" s="28" t="s">
        <v>380</v>
      </c>
      <c r="F2" s="28" t="s">
        <v>380</v>
      </c>
      <c r="G2" s="28" t="s">
        <v>380</v>
      </c>
      <c r="H2" s="28" t="s">
        <v>380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22.0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47" ht="30" customHeight="1">
      <c r="A4" s="29" t="s">
        <v>78</v>
      </c>
      <c r="B4" s="29" t="s">
        <v>78</v>
      </c>
      <c r="C4" s="29" t="s">
        <v>78</v>
      </c>
      <c r="D4" s="29" t="s">
        <v>78</v>
      </c>
      <c r="E4" s="29" t="s">
        <v>78</v>
      </c>
      <c r="F4" s="38" t="s">
        <v>79</v>
      </c>
      <c r="G4" s="39" t="s">
        <v>78</v>
      </c>
      <c r="H4" s="39" t="s">
        <v>78</v>
      </c>
      <c r="I4" s="8"/>
      <c r="J4" s="8"/>
      <c r="K4" s="8"/>
      <c r="L4" s="8"/>
      <c r="M4" s="8"/>
      <c r="N4" s="8"/>
      <c r="O4" s="8"/>
      <c r="P4" s="8"/>
      <c r="Q4" s="9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5" customHeight="1">
      <c r="A5" s="3" t="s">
        <v>80</v>
      </c>
      <c r="B5" s="3" t="s">
        <v>81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70.2" customHeight="1">
      <c r="A6" s="4" t="s">
        <v>82</v>
      </c>
      <c r="B6" s="5" t="s">
        <v>381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71.400000000000006" customHeight="1">
      <c r="A7" s="4" t="s">
        <v>83</v>
      </c>
      <c r="B7" s="5" t="s">
        <v>442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72" customHeight="1">
      <c r="A8" s="4" t="s">
        <v>84</v>
      </c>
      <c r="B8" s="5" t="s">
        <v>382</v>
      </c>
      <c r="C8" s="1"/>
      <c r="D8" s="1"/>
      <c r="E8" s="1"/>
      <c r="F8" s="1"/>
      <c r="G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5" customHeight="1">
      <c r="A10" s="29" t="s">
        <v>85</v>
      </c>
      <c r="B10" s="29" t="s">
        <v>85</v>
      </c>
      <c r="C10" s="29" t="s">
        <v>85</v>
      </c>
      <c r="D10" s="29" t="s">
        <v>85</v>
      </c>
      <c r="E10" s="29" t="s">
        <v>85</v>
      </c>
      <c r="F10" s="29" t="s">
        <v>85</v>
      </c>
      <c r="G10" s="29" t="s">
        <v>85</v>
      </c>
      <c r="H10" s="29" t="s">
        <v>85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5" customHeight="1">
      <c r="A11" s="3" t="s">
        <v>86</v>
      </c>
      <c r="B11" s="3" t="s">
        <v>87</v>
      </c>
      <c r="C11" s="3" t="s">
        <v>88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7" ht="40.200000000000003" customHeight="1">
      <c r="A12" s="4" t="s">
        <v>89</v>
      </c>
      <c r="B12" s="5" t="s">
        <v>383</v>
      </c>
      <c r="C12" s="5" t="s">
        <v>90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7" ht="40.799999999999997" customHeight="1">
      <c r="A13" s="4" t="s">
        <v>91</v>
      </c>
      <c r="B13" s="5" t="s">
        <v>384</v>
      </c>
      <c r="C13" s="5" t="s">
        <v>92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7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5" customHeight="1">
      <c r="A15" s="29" t="s">
        <v>93</v>
      </c>
      <c r="B15" s="29" t="s">
        <v>93</v>
      </c>
      <c r="C15" s="29" t="s">
        <v>93</v>
      </c>
      <c r="D15" s="29" t="s">
        <v>93</v>
      </c>
      <c r="E15" s="29" t="s">
        <v>93</v>
      </c>
      <c r="F15" s="29" t="s">
        <v>93</v>
      </c>
      <c r="G15" s="29" t="s">
        <v>93</v>
      </c>
      <c r="H15" s="29" t="s">
        <v>93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5" customHeight="1">
      <c r="A16" s="3" t="s">
        <v>94</v>
      </c>
      <c r="B16" s="3" t="s">
        <v>95</v>
      </c>
      <c r="C16" s="3" t="s">
        <v>96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36" customHeight="1">
      <c r="A17" s="4" t="s">
        <v>97</v>
      </c>
      <c r="B17" s="5" t="s">
        <v>385</v>
      </c>
      <c r="C17" s="5" t="s">
        <v>386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44.4" customHeight="1">
      <c r="A18" s="4" t="s">
        <v>98</v>
      </c>
      <c r="B18" s="5" t="s">
        <v>387</v>
      </c>
      <c r="C18" s="5" t="s">
        <v>388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47" ht="48" customHeight="1">
      <c r="A19" s="4" t="s">
        <v>99</v>
      </c>
      <c r="B19" s="5" t="s">
        <v>389</v>
      </c>
      <c r="C19" s="5" t="s">
        <v>100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48" customHeight="1">
      <c r="A20" s="4" t="s">
        <v>101</v>
      </c>
      <c r="B20" s="5" t="s">
        <v>102</v>
      </c>
      <c r="C20" s="5" t="s">
        <v>103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47" ht="15" customHeight="1">
      <c r="A23" s="29" t="s">
        <v>104</v>
      </c>
      <c r="B23" s="29" t="s">
        <v>105</v>
      </c>
      <c r="C23" s="29" t="s">
        <v>105</v>
      </c>
      <c r="D23" s="29" t="s">
        <v>105</v>
      </c>
      <c r="E23" s="29" t="s">
        <v>105</v>
      </c>
      <c r="F23" s="29" t="s">
        <v>105</v>
      </c>
      <c r="G23" s="29" t="s">
        <v>105</v>
      </c>
      <c r="H23" s="29" t="s">
        <v>105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47" ht="41.4" customHeight="1">
      <c r="A24" s="3" t="s">
        <v>106</v>
      </c>
      <c r="B24" s="3" t="s">
        <v>81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47" ht="36" customHeight="1">
      <c r="A25" s="4" t="s">
        <v>107</v>
      </c>
      <c r="B25" s="5" t="s">
        <v>108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47" ht="60" customHeight="1">
      <c r="A26" s="4" t="s">
        <v>109</v>
      </c>
      <c r="B26" s="5" t="s">
        <v>110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47" ht="36" customHeight="1">
      <c r="A27" s="4" t="s">
        <v>436</v>
      </c>
      <c r="B27" s="5" t="s">
        <v>390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47" ht="73.2" customHeight="1">
      <c r="A28" s="4" t="s">
        <v>437</v>
      </c>
      <c r="B28" s="5" t="s">
        <v>443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7" ht="15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7" ht="1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36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36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6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22.0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47" ht="15" customHeight="1"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47" ht="15" customHeight="1"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6:35" ht="15" customHeight="1"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6:35" ht="15" customHeight="1"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6:35" ht="15" customHeight="1"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6:35" ht="15" customHeight="1"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6:35" ht="42" customHeight="1"/>
    <row r="54" spans="6:35" ht="42" customHeight="1"/>
  </sheetData>
  <mergeCells count="6">
    <mergeCell ref="A23:H23"/>
    <mergeCell ref="A1:H1"/>
    <mergeCell ref="A2:H2"/>
    <mergeCell ref="A4:H4"/>
    <mergeCell ref="A10:H10"/>
    <mergeCell ref="A15:H15"/>
  </mergeCells>
  <phoneticPr fontId="3" type="noConversion"/>
  <conditionalFormatting sqref="AP5:AP10 AN11:AN13 AP14:AP17 AD18 AP19:AP21 AH22:AH27 AO28 AN29 AP30:AP45 AD46:AD52">
    <cfRule type="containsText" dxfId="2" priority="1" operator="containsText" text="candidate_feasible"/>
    <cfRule type="containsText" dxfId="1" priority="2" operator="containsText" text="not_acceptable"/>
    <cfRule type="containsText" dxfId="0" priority="3" operator="containsText" text="risk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5"/>
  <sheetViews>
    <sheetView showGridLines="0" zoomScaleNormal="100" workbookViewId="0">
      <selection activeCell="D44" sqref="D44"/>
    </sheetView>
  </sheetViews>
  <sheetFormatPr defaultRowHeight="15.6"/>
  <cols>
    <col min="1" max="1" width="24" style="2" customWidth="1"/>
    <col min="2" max="2" width="34" style="2" customWidth="1"/>
    <col min="3" max="3" width="42" style="2" customWidth="1"/>
    <col min="4" max="4" width="44.5" style="2" customWidth="1"/>
    <col min="5" max="5" width="42" style="2" customWidth="1"/>
    <col min="6" max="6" width="48" style="2" customWidth="1"/>
    <col min="7" max="10" width="18" style="2" customWidth="1"/>
    <col min="11" max="12" width="26" style="2" customWidth="1"/>
    <col min="13" max="16384" width="8.796875" style="2"/>
  </cols>
  <sheetData>
    <row r="1" spans="1:18" ht="19.2" customHeight="1">
      <c r="A1" s="26" t="s">
        <v>111</v>
      </c>
      <c r="B1" s="27" t="s">
        <v>112</v>
      </c>
      <c r="C1" s="27" t="s">
        <v>112</v>
      </c>
      <c r="D1" s="27" t="s">
        <v>112</v>
      </c>
      <c r="E1" s="27" t="s">
        <v>112</v>
      </c>
      <c r="F1" s="27" t="s">
        <v>112</v>
      </c>
      <c r="G1" s="27" t="s">
        <v>112</v>
      </c>
      <c r="H1" s="27" t="s">
        <v>112</v>
      </c>
      <c r="I1" s="27" t="s">
        <v>112</v>
      </c>
      <c r="J1" s="27" t="s">
        <v>112</v>
      </c>
      <c r="K1" s="1"/>
      <c r="L1" s="1"/>
      <c r="M1" s="1"/>
      <c r="N1" s="1"/>
      <c r="O1" s="1"/>
      <c r="P1" s="1"/>
      <c r="Q1" s="1"/>
      <c r="R1" s="1"/>
    </row>
    <row r="2" spans="1:18" ht="15" customHeight="1">
      <c r="A2" s="28" t="s">
        <v>426</v>
      </c>
      <c r="B2" s="28" t="s">
        <v>113</v>
      </c>
      <c r="C2" s="28" t="s">
        <v>113</v>
      </c>
      <c r="D2" s="28" t="s">
        <v>113</v>
      </c>
      <c r="E2" s="28" t="s">
        <v>113</v>
      </c>
      <c r="F2" s="28" t="s">
        <v>113</v>
      </c>
      <c r="G2" s="28" t="s">
        <v>113</v>
      </c>
      <c r="H2" s="28" t="s">
        <v>113</v>
      </c>
      <c r="I2" s="28" t="s">
        <v>113</v>
      </c>
      <c r="J2" s="28" t="s">
        <v>113</v>
      </c>
      <c r="K2" s="1"/>
      <c r="L2" s="1"/>
      <c r="M2" s="1"/>
      <c r="N2" s="1"/>
      <c r="O2" s="1"/>
      <c r="P2" s="1"/>
      <c r="Q2" s="1"/>
      <c r="R2" s="1"/>
    </row>
    <row r="3" spans="1:18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" customHeight="1">
      <c r="A4" s="29" t="s">
        <v>114</v>
      </c>
      <c r="B4" s="29" t="s">
        <v>114</v>
      </c>
      <c r="C4" s="29" t="s">
        <v>114</v>
      </c>
      <c r="D4" s="29" t="s">
        <v>114</v>
      </c>
      <c r="E4" s="29" t="s">
        <v>114</v>
      </c>
      <c r="F4" s="29" t="s">
        <v>114</v>
      </c>
      <c r="G4" s="29" t="s">
        <v>114</v>
      </c>
      <c r="H4" s="29" t="s">
        <v>114</v>
      </c>
      <c r="I4" s="29" t="s">
        <v>114</v>
      </c>
      <c r="J4" s="29" t="s">
        <v>114</v>
      </c>
      <c r="K4" s="1"/>
      <c r="L4" s="1"/>
      <c r="M4" s="1"/>
      <c r="N4" s="1"/>
      <c r="O4" s="1"/>
      <c r="P4" s="1"/>
      <c r="Q4" s="1"/>
      <c r="R4" s="1"/>
    </row>
    <row r="5" spans="1:18" ht="15" customHeight="1">
      <c r="A5" s="3" t="s">
        <v>115</v>
      </c>
      <c r="B5" s="3" t="s">
        <v>116</v>
      </c>
      <c r="C5" s="3" t="s">
        <v>117</v>
      </c>
      <c r="D5" s="3" t="s">
        <v>441</v>
      </c>
      <c r="E5" s="3" t="s">
        <v>118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8" ht="15" customHeight="1">
      <c r="A6" s="4" t="s">
        <v>119</v>
      </c>
      <c r="B6" s="5" t="s">
        <v>120</v>
      </c>
      <c r="C6" s="5" t="s">
        <v>121</v>
      </c>
      <c r="D6" s="5" t="s">
        <v>122</v>
      </c>
      <c r="E6" s="5" t="s">
        <v>123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8" ht="15" customHeight="1">
      <c r="A7" s="4" t="s">
        <v>124</v>
      </c>
      <c r="B7" s="5" t="s">
        <v>125</v>
      </c>
      <c r="C7" s="5" t="s">
        <v>121</v>
      </c>
      <c r="D7" s="5" t="s">
        <v>126</v>
      </c>
      <c r="E7" s="5" t="s">
        <v>127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8" ht="15" customHeight="1">
      <c r="A8" s="4" t="s">
        <v>128</v>
      </c>
      <c r="B8" s="5" t="s">
        <v>129</v>
      </c>
      <c r="C8" s="5" t="s">
        <v>121</v>
      </c>
      <c r="D8" s="5" t="s">
        <v>130</v>
      </c>
      <c r="E8" s="5" t="s">
        <v>131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8" ht="15" customHeight="1">
      <c r="A9" s="4" t="s">
        <v>132</v>
      </c>
      <c r="B9" s="5" t="s">
        <v>133</v>
      </c>
      <c r="C9" s="5" t="s">
        <v>121</v>
      </c>
      <c r="D9" s="5" t="s">
        <v>134</v>
      </c>
      <c r="E9" s="5" t="s">
        <v>135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8" ht="15" customHeight="1">
      <c r="A10" s="4" t="s">
        <v>136</v>
      </c>
      <c r="B10" s="5" t="s">
        <v>137</v>
      </c>
      <c r="C10" s="5" t="s">
        <v>138</v>
      </c>
      <c r="D10" s="5" t="s">
        <v>139</v>
      </c>
      <c r="E10" s="5" t="s">
        <v>140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8" ht="15" customHeight="1">
      <c r="A11" s="4" t="s">
        <v>141</v>
      </c>
      <c r="B11" s="5" t="s">
        <v>142</v>
      </c>
      <c r="C11" s="5" t="s">
        <v>138</v>
      </c>
      <c r="D11" s="5" t="s">
        <v>143</v>
      </c>
      <c r="E11" s="5" t="s">
        <v>144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8" ht="15" customHeight="1">
      <c r="A12" s="4" t="s">
        <v>145</v>
      </c>
      <c r="B12" s="5" t="s">
        <v>146</v>
      </c>
      <c r="C12" s="5" t="s">
        <v>138</v>
      </c>
      <c r="D12" s="5" t="s">
        <v>147</v>
      </c>
      <c r="E12" s="5" t="s">
        <v>148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8" ht="15" customHeight="1">
      <c r="A13" s="4" t="s">
        <v>149</v>
      </c>
      <c r="B13" s="5" t="s">
        <v>391</v>
      </c>
      <c r="C13" s="5" t="s">
        <v>150</v>
      </c>
      <c r="D13" s="5" t="s">
        <v>151</v>
      </c>
      <c r="E13" s="5" t="s">
        <v>152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8" ht="15" customHeight="1">
      <c r="A14" s="4" t="s">
        <v>153</v>
      </c>
      <c r="B14" s="5" t="s">
        <v>392</v>
      </c>
      <c r="C14" s="5" t="s">
        <v>150</v>
      </c>
      <c r="D14" s="5" t="s">
        <v>154</v>
      </c>
      <c r="E14" s="5" t="s">
        <v>393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8" ht="15" customHeight="1">
      <c r="A15" s="4" t="s">
        <v>155</v>
      </c>
      <c r="B15" s="5" t="s">
        <v>394</v>
      </c>
      <c r="C15" s="5" t="s">
        <v>150</v>
      </c>
      <c r="D15" s="5" t="s">
        <v>156</v>
      </c>
      <c r="E15" s="5" t="s">
        <v>157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8" ht="15" customHeight="1">
      <c r="A16" s="4" t="s">
        <v>158</v>
      </c>
      <c r="B16" s="5" t="s">
        <v>395</v>
      </c>
      <c r="C16" s="5" t="s">
        <v>159</v>
      </c>
      <c r="D16" s="5" t="s">
        <v>160</v>
      </c>
      <c r="E16" s="5" t="s">
        <v>161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8" ht="15" customHeight="1">
      <c r="A17" s="4" t="s">
        <v>162</v>
      </c>
      <c r="B17" s="5" t="s">
        <v>396</v>
      </c>
      <c r="C17" s="5" t="s">
        <v>150</v>
      </c>
      <c r="D17" s="5" t="s">
        <v>163</v>
      </c>
      <c r="E17" s="5" t="s">
        <v>164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8" ht="15" customHeight="1">
      <c r="A18" s="4" t="s">
        <v>165</v>
      </c>
      <c r="B18" s="5" t="s">
        <v>397</v>
      </c>
      <c r="C18" s="5" t="s">
        <v>166</v>
      </c>
      <c r="D18" s="5" t="s">
        <v>167</v>
      </c>
      <c r="E18" s="5" t="s">
        <v>168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8" ht="15" customHeight="1">
      <c r="A19" s="4" t="s">
        <v>169</v>
      </c>
      <c r="B19" s="5" t="s">
        <v>170</v>
      </c>
      <c r="C19" s="5" t="s">
        <v>121</v>
      </c>
      <c r="D19" s="5" t="s">
        <v>171</v>
      </c>
      <c r="E19" s="5" t="s">
        <v>172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8" ht="15" customHeight="1">
      <c r="A20" s="4" t="s">
        <v>173</v>
      </c>
      <c r="B20" s="5" t="s">
        <v>174</v>
      </c>
      <c r="C20" s="5" t="s">
        <v>175</v>
      </c>
      <c r="D20" s="5" t="s">
        <v>176</v>
      </c>
      <c r="E20" s="5" t="s">
        <v>177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8" ht="15" customHeight="1">
      <c r="A21" s="4" t="s">
        <v>178</v>
      </c>
      <c r="B21" s="5" t="s">
        <v>179</v>
      </c>
      <c r="C21" s="5" t="s">
        <v>180</v>
      </c>
      <c r="D21" s="5" t="s">
        <v>181</v>
      </c>
      <c r="E21" s="5" t="s">
        <v>182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8" ht="15" customHeight="1">
      <c r="A22" s="4" t="s">
        <v>183</v>
      </c>
      <c r="B22" s="5" t="s">
        <v>398</v>
      </c>
      <c r="C22" s="5" t="s">
        <v>121</v>
      </c>
      <c r="D22" s="5" t="s">
        <v>399</v>
      </c>
      <c r="E22" s="5" t="s">
        <v>184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8" ht="15" customHeight="1">
      <c r="A23" s="4" t="s">
        <v>185</v>
      </c>
      <c r="B23" s="5" t="s">
        <v>400</v>
      </c>
      <c r="C23" s="5" t="s">
        <v>138</v>
      </c>
      <c r="D23" s="5" t="s">
        <v>401</v>
      </c>
      <c r="E23" s="5" t="s">
        <v>186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8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5" customHeight="1">
      <c r="A25" s="29" t="s">
        <v>440</v>
      </c>
      <c r="B25" s="29" t="s">
        <v>187</v>
      </c>
      <c r="C25" s="29" t="s">
        <v>187</v>
      </c>
      <c r="D25" s="29" t="s">
        <v>187</v>
      </c>
      <c r="E25" s="29" t="s">
        <v>187</v>
      </c>
      <c r="F25" s="29" t="s">
        <v>187</v>
      </c>
      <c r="G25" s="29" t="s">
        <v>187</v>
      </c>
      <c r="H25" s="29" t="s">
        <v>187</v>
      </c>
      <c r="I25" s="29" t="s">
        <v>187</v>
      </c>
      <c r="J25" s="29" t="s">
        <v>187</v>
      </c>
      <c r="K25" s="1"/>
      <c r="L25" s="1"/>
      <c r="M25" s="1"/>
      <c r="N25" s="1"/>
      <c r="O25" s="1"/>
      <c r="P25" s="1"/>
      <c r="Q25" s="1"/>
      <c r="R25" s="1"/>
    </row>
    <row r="26" spans="1:18" ht="15" customHeight="1">
      <c r="A26" s="3" t="s">
        <v>86</v>
      </c>
      <c r="B26" s="3" t="s">
        <v>188</v>
      </c>
      <c r="C26" s="3" t="s">
        <v>189</v>
      </c>
      <c r="D26" s="3" t="s">
        <v>190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60" customHeight="1">
      <c r="A27" s="4" t="s">
        <v>91</v>
      </c>
      <c r="B27" s="5" t="s">
        <v>191</v>
      </c>
      <c r="C27" s="5" t="s">
        <v>192</v>
      </c>
      <c r="D27" s="5" t="s">
        <v>193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66.599999999999994" customHeight="1">
      <c r="A28" s="4" t="s">
        <v>89</v>
      </c>
      <c r="B28" s="5" t="s">
        <v>402</v>
      </c>
      <c r="C28" s="5" t="s">
        <v>194</v>
      </c>
      <c r="D28" s="5" t="s">
        <v>195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55.2" customHeight="1">
      <c r="A29" s="4" t="s">
        <v>196</v>
      </c>
      <c r="B29" s="5" t="s">
        <v>403</v>
      </c>
      <c r="C29" s="5" t="s">
        <v>197</v>
      </c>
      <c r="D29" s="5" t="s">
        <v>198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43.2" customHeight="1">
      <c r="A30" s="4" t="s">
        <v>199</v>
      </c>
      <c r="B30" s="5" t="s">
        <v>200</v>
      </c>
      <c r="C30" s="5" t="s">
        <v>201</v>
      </c>
      <c r="D30" s="5" t="s">
        <v>202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36" customHeight="1">
      <c r="A31" s="4" t="s">
        <v>203</v>
      </c>
      <c r="B31" s="5" t="s">
        <v>204</v>
      </c>
      <c r="C31" s="5" t="s">
        <v>205</v>
      </c>
      <c r="D31" s="5" t="s">
        <v>206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36" customHeight="1">
      <c r="A32" s="4" t="s">
        <v>207</v>
      </c>
      <c r="B32" s="5" t="s">
        <v>208</v>
      </c>
      <c r="C32" s="5" t="s">
        <v>209</v>
      </c>
      <c r="D32" s="5" t="s">
        <v>210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5" customHeight="1">
      <c r="A34" s="29" t="s">
        <v>439</v>
      </c>
      <c r="B34" s="29" t="s">
        <v>211</v>
      </c>
      <c r="C34" s="29" t="s">
        <v>211</v>
      </c>
      <c r="D34" s="29" t="s">
        <v>211</v>
      </c>
      <c r="E34" s="29" t="s">
        <v>211</v>
      </c>
      <c r="F34" s="29" t="s">
        <v>211</v>
      </c>
      <c r="G34" s="29" t="s">
        <v>211</v>
      </c>
      <c r="H34" s="29" t="s">
        <v>211</v>
      </c>
      <c r="I34" s="29" t="s">
        <v>211</v>
      </c>
      <c r="J34" s="29" t="s">
        <v>211</v>
      </c>
      <c r="K34" s="1"/>
      <c r="L34" s="1"/>
      <c r="M34" s="1"/>
      <c r="N34" s="1"/>
      <c r="O34" s="1"/>
      <c r="P34" s="1"/>
      <c r="Q34" s="1"/>
      <c r="R34" s="1"/>
    </row>
    <row r="35" spans="1:18" ht="15" customHeight="1">
      <c r="A35" s="3" t="s">
        <v>212</v>
      </c>
      <c r="B35" s="3" t="s">
        <v>438</v>
      </c>
      <c r="C35" s="3" t="s">
        <v>213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51.6" customHeight="1">
      <c r="A36" s="4" t="s">
        <v>214</v>
      </c>
      <c r="B36" s="5" t="s">
        <v>404</v>
      </c>
      <c r="C36" s="5" t="s">
        <v>215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48.6" customHeight="1">
      <c r="A37" s="4" t="s">
        <v>216</v>
      </c>
      <c r="B37" s="5" t="s">
        <v>405</v>
      </c>
      <c r="C37" s="5" t="s">
        <v>217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48" customHeight="1">
      <c r="A38" s="4" t="s">
        <v>218</v>
      </c>
      <c r="B38" s="5" t="s">
        <v>406</v>
      </c>
      <c r="C38" s="5" t="s">
        <v>219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52.8" customHeight="1">
      <c r="A39" s="4" t="s">
        <v>220</v>
      </c>
      <c r="B39" s="5" t="s">
        <v>407</v>
      </c>
      <c r="C39" s="5" t="s">
        <v>221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1" spans="1:18" ht="22.05" customHeight="1">
      <c r="A41" s="25" t="s">
        <v>408</v>
      </c>
      <c r="B41" s="25" t="s">
        <v>187</v>
      </c>
      <c r="C41" s="25" t="s">
        <v>187</v>
      </c>
      <c r="D41" s="25" t="s">
        <v>187</v>
      </c>
      <c r="E41" s="25" t="s">
        <v>187</v>
      </c>
      <c r="F41" s="25" t="s">
        <v>187</v>
      </c>
      <c r="G41" s="25" t="s">
        <v>187</v>
      </c>
      <c r="H41" s="25" t="s">
        <v>187</v>
      </c>
      <c r="I41" s="25" t="s">
        <v>187</v>
      </c>
      <c r="J41" s="25" t="s">
        <v>187</v>
      </c>
    </row>
    <row r="42" spans="1:18" ht="30" customHeight="1">
      <c r="A42" s="10" t="s">
        <v>409</v>
      </c>
      <c r="B42" s="10" t="s">
        <v>410</v>
      </c>
      <c r="C42" s="10" t="s">
        <v>411</v>
      </c>
      <c r="D42" s="10" t="s">
        <v>425</v>
      </c>
    </row>
    <row r="43" spans="1:18" ht="126" customHeight="1">
      <c r="A43" s="11" t="s">
        <v>89</v>
      </c>
      <c r="B43" s="12" t="s">
        <v>412</v>
      </c>
      <c r="C43" s="12" t="s">
        <v>444</v>
      </c>
      <c r="D43" s="12" t="s">
        <v>427</v>
      </c>
    </row>
    <row r="44" spans="1:18" ht="126" customHeight="1">
      <c r="A44" s="11" t="s">
        <v>91</v>
      </c>
      <c r="B44" s="12" t="s">
        <v>413</v>
      </c>
      <c r="C44" s="12" t="s">
        <v>445</v>
      </c>
      <c r="D44" s="12" t="s">
        <v>428</v>
      </c>
    </row>
    <row r="45" spans="1:18" ht="126" customHeight="1">
      <c r="A45" s="11" t="s">
        <v>414</v>
      </c>
      <c r="B45" s="12" t="s">
        <v>415</v>
      </c>
      <c r="C45" s="12" t="s">
        <v>416</v>
      </c>
      <c r="D45" s="12" t="s">
        <v>417</v>
      </c>
    </row>
  </sheetData>
  <mergeCells count="6">
    <mergeCell ref="A41:J41"/>
    <mergeCell ref="A1:J1"/>
    <mergeCell ref="A2:J2"/>
    <mergeCell ref="A4:J4"/>
    <mergeCell ref="A25:J25"/>
    <mergeCell ref="A34:J3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6"/>
  <sheetViews>
    <sheetView showGridLines="0" topLeftCell="A3" workbookViewId="0">
      <selection activeCell="C20" sqref="C20"/>
    </sheetView>
  </sheetViews>
  <sheetFormatPr defaultRowHeight="15.6"/>
  <cols>
    <col min="1" max="1" width="30" style="2" customWidth="1"/>
    <col min="2" max="2" width="61.19921875" style="2" customWidth="1"/>
    <col min="3" max="3" width="70" style="2" customWidth="1"/>
    <col min="4" max="10" width="18" style="2" customWidth="1"/>
    <col min="11" max="12" width="14" style="2" customWidth="1"/>
    <col min="13" max="16384" width="8.796875" style="2"/>
  </cols>
  <sheetData>
    <row r="1" spans="1:12" ht="19.2" customHeight="1">
      <c r="A1" s="26" t="s">
        <v>222</v>
      </c>
      <c r="B1" s="26" t="s">
        <v>222</v>
      </c>
      <c r="C1" s="26" t="s">
        <v>222</v>
      </c>
      <c r="D1" s="26" t="s">
        <v>222</v>
      </c>
      <c r="E1" s="26" t="s">
        <v>222</v>
      </c>
      <c r="F1" s="26" t="s">
        <v>222</v>
      </c>
      <c r="G1" s="26" t="s">
        <v>222</v>
      </c>
      <c r="H1" s="26" t="s">
        <v>222</v>
      </c>
      <c r="I1" s="26" t="s">
        <v>222</v>
      </c>
      <c r="J1" s="26" t="s">
        <v>222</v>
      </c>
      <c r="K1" s="1"/>
      <c r="L1" s="1"/>
    </row>
    <row r="2" spans="1:12" ht="15" customHeight="1">
      <c r="A2" s="28" t="s">
        <v>418</v>
      </c>
      <c r="B2" s="28" t="s">
        <v>418</v>
      </c>
      <c r="C2" s="28" t="s">
        <v>418</v>
      </c>
      <c r="D2" s="28" t="s">
        <v>418</v>
      </c>
      <c r="E2" s="28" t="s">
        <v>418</v>
      </c>
      <c r="F2" s="28" t="s">
        <v>418</v>
      </c>
      <c r="G2" s="28" t="s">
        <v>418</v>
      </c>
      <c r="H2" s="28" t="s">
        <v>418</v>
      </c>
      <c r="I2" s="28" t="s">
        <v>418</v>
      </c>
      <c r="J2" s="28" t="s">
        <v>418</v>
      </c>
      <c r="K2" s="1"/>
      <c r="L2" s="1"/>
    </row>
    <row r="3" spans="1:1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" customHeight="1">
      <c r="A4" s="29" t="s">
        <v>223</v>
      </c>
      <c r="B4" s="29" t="s">
        <v>223</v>
      </c>
      <c r="C4" s="29" t="s">
        <v>223</v>
      </c>
      <c r="D4" s="29" t="s">
        <v>223</v>
      </c>
      <c r="E4" s="29" t="s">
        <v>223</v>
      </c>
      <c r="F4" s="29" t="s">
        <v>223</v>
      </c>
      <c r="G4" s="29" t="s">
        <v>223</v>
      </c>
      <c r="H4" s="29" t="s">
        <v>223</v>
      </c>
      <c r="I4" s="29" t="s">
        <v>223</v>
      </c>
      <c r="J4" s="29" t="s">
        <v>223</v>
      </c>
      <c r="K4" s="1"/>
      <c r="L4" s="1"/>
    </row>
    <row r="5" spans="1:12" ht="15" customHeight="1">
      <c r="A5" s="3" t="s">
        <v>224</v>
      </c>
      <c r="B5" s="3" t="s">
        <v>225</v>
      </c>
      <c r="C5" s="3" t="s">
        <v>96</v>
      </c>
      <c r="D5" s="1"/>
      <c r="E5" s="1"/>
      <c r="F5" s="1"/>
      <c r="G5" s="1"/>
      <c r="H5" s="1"/>
      <c r="I5" s="1"/>
      <c r="J5" s="1"/>
      <c r="K5" s="1"/>
      <c r="L5" s="1"/>
    </row>
    <row r="6" spans="1:12" ht="15" customHeight="1">
      <c r="A6" s="4" t="s">
        <v>226</v>
      </c>
      <c r="B6" s="5" t="s">
        <v>227</v>
      </c>
      <c r="C6" s="5" t="s">
        <v>228</v>
      </c>
      <c r="D6" s="1"/>
      <c r="E6" s="1"/>
      <c r="F6" s="1"/>
      <c r="G6" s="1"/>
      <c r="H6" s="1"/>
      <c r="I6" s="1"/>
      <c r="J6" s="1"/>
      <c r="K6" s="1"/>
      <c r="L6" s="1"/>
    </row>
    <row r="7" spans="1:12" ht="15" customHeight="1">
      <c r="A7" s="4" t="s">
        <v>229</v>
      </c>
      <c r="B7" s="5" t="s">
        <v>230</v>
      </c>
      <c r="C7" s="5" t="s">
        <v>231</v>
      </c>
      <c r="D7" s="1"/>
      <c r="E7" s="1"/>
      <c r="F7" s="1"/>
      <c r="G7" s="1"/>
      <c r="H7" s="1"/>
      <c r="I7" s="1"/>
      <c r="J7" s="1"/>
      <c r="K7" s="1"/>
      <c r="L7" s="1"/>
    </row>
    <row r="8" spans="1:12" ht="15" customHeight="1">
      <c r="A8" s="4" t="s">
        <v>232</v>
      </c>
      <c r="B8" s="5" t="s">
        <v>233</v>
      </c>
      <c r="C8" s="5" t="s">
        <v>234</v>
      </c>
      <c r="D8" s="1"/>
      <c r="E8" s="1"/>
      <c r="F8" s="1"/>
      <c r="G8" s="1"/>
      <c r="H8" s="1"/>
      <c r="I8" s="1"/>
      <c r="J8" s="1"/>
      <c r="K8" s="1"/>
      <c r="L8" s="1"/>
    </row>
    <row r="9" spans="1:1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5" customHeight="1">
      <c r="A10" s="29" t="s">
        <v>435</v>
      </c>
      <c r="B10" s="29" t="s">
        <v>419</v>
      </c>
      <c r="C10" s="29" t="s">
        <v>419</v>
      </c>
      <c r="D10" s="29" t="s">
        <v>419</v>
      </c>
      <c r="E10" s="29" t="s">
        <v>419</v>
      </c>
      <c r="F10" s="29" t="s">
        <v>419</v>
      </c>
      <c r="G10" s="29" t="s">
        <v>419</v>
      </c>
      <c r="H10" s="29" t="s">
        <v>419</v>
      </c>
      <c r="I10" s="29" t="s">
        <v>419</v>
      </c>
      <c r="J10" s="29" t="s">
        <v>419</v>
      </c>
      <c r="K10" s="1"/>
      <c r="L10" s="1"/>
    </row>
    <row r="11" spans="1:12" ht="15" customHeight="1">
      <c r="A11" s="3" t="s">
        <v>235</v>
      </c>
      <c r="B11" s="3" t="s">
        <v>434</v>
      </c>
      <c r="C11" s="3" t="s">
        <v>236</v>
      </c>
      <c r="D11" s="3" t="s">
        <v>237</v>
      </c>
      <c r="E11" s="3" t="s">
        <v>238</v>
      </c>
      <c r="F11" s="1"/>
      <c r="G11" s="1"/>
      <c r="H11" s="1"/>
      <c r="I11" s="1"/>
      <c r="J11" s="1"/>
      <c r="K11" s="1"/>
      <c r="L11" s="1"/>
    </row>
    <row r="12" spans="1:12" ht="15" customHeight="1">
      <c r="A12" s="5" t="s">
        <v>239</v>
      </c>
      <c r="B12" s="22">
        <v>0.75027900000000003</v>
      </c>
      <c r="C12" s="23">
        <v>0</v>
      </c>
      <c r="D12" s="23">
        <v>5.6972839999999998</v>
      </c>
      <c r="E12" s="24">
        <v>0</v>
      </c>
      <c r="F12" s="1"/>
      <c r="G12" s="1"/>
      <c r="H12" s="1"/>
      <c r="I12" s="1"/>
      <c r="J12" s="1"/>
      <c r="K12" s="1"/>
      <c r="L12" s="1"/>
    </row>
    <row r="13" spans="1:12" ht="15" customHeight="1">
      <c r="A13" s="5" t="s">
        <v>240</v>
      </c>
      <c r="B13" s="22">
        <v>0.96645000000000003</v>
      </c>
      <c r="C13" s="23">
        <v>0</v>
      </c>
      <c r="D13" s="23">
        <v>0.64513399999999999</v>
      </c>
      <c r="E13" s="24">
        <v>0</v>
      </c>
      <c r="F13" s="1"/>
      <c r="G13" s="1"/>
      <c r="H13" s="1"/>
      <c r="I13" s="1"/>
      <c r="J13" s="1"/>
      <c r="K13" s="1"/>
      <c r="L13" s="1"/>
    </row>
    <row r="14" spans="1:12" ht="15" customHeight="1">
      <c r="A14" s="5" t="s">
        <v>241</v>
      </c>
      <c r="B14" s="22">
        <v>1.1525080000000001</v>
      </c>
      <c r="C14" s="23">
        <v>15.250770967542348</v>
      </c>
      <c r="D14" s="23">
        <v>-2.7730160000000001</v>
      </c>
      <c r="E14" s="24">
        <v>59.911921</v>
      </c>
      <c r="F14" s="1"/>
      <c r="G14" s="1"/>
      <c r="H14" s="1"/>
      <c r="I14" s="1"/>
      <c r="J14" s="1"/>
      <c r="K14" s="1"/>
      <c r="L14" s="1"/>
    </row>
    <row r="15" spans="1:12" ht="15" customHeight="1">
      <c r="A15" s="5" t="s">
        <v>242</v>
      </c>
      <c r="B15" s="22">
        <v>1.2849029999999999</v>
      </c>
      <c r="C15" s="23">
        <v>28.490269800628475</v>
      </c>
      <c r="D15" s="23">
        <v>-4.7761610000000001</v>
      </c>
      <c r="E15" s="24">
        <v>93.902052999999995</v>
      </c>
      <c r="F15" s="1"/>
      <c r="G15" s="1"/>
      <c r="H15" s="1"/>
      <c r="I15" s="1"/>
      <c r="J15" s="1"/>
      <c r="K15" s="1"/>
      <c r="L15" s="1"/>
    </row>
    <row r="16" spans="1:12" ht="15" customHeight="1">
      <c r="A16" s="5" t="s">
        <v>243</v>
      </c>
      <c r="B16" s="22">
        <v>0.63258300000000001</v>
      </c>
      <c r="C16" s="23">
        <v>0</v>
      </c>
      <c r="D16" s="23">
        <v>7.9436679999999997</v>
      </c>
      <c r="E16" s="24">
        <v>0</v>
      </c>
      <c r="F16" s="1"/>
      <c r="G16" s="1"/>
      <c r="H16" s="1"/>
      <c r="I16" s="1"/>
      <c r="J16" s="1"/>
      <c r="K16" s="1"/>
      <c r="L16" s="1"/>
    </row>
    <row r="17" spans="1:12" ht="15" customHeight="1">
      <c r="A17" s="5" t="s">
        <v>244</v>
      </c>
      <c r="B17" s="22">
        <v>0.787713</v>
      </c>
      <c r="C17" s="23">
        <v>0</v>
      </c>
      <c r="D17" s="23">
        <v>4.2136279999999999</v>
      </c>
      <c r="E17" s="24">
        <v>0</v>
      </c>
      <c r="F17" s="1"/>
      <c r="G17" s="1"/>
      <c r="H17" s="1"/>
      <c r="I17" s="1"/>
      <c r="J17" s="1"/>
      <c r="K17" s="1"/>
      <c r="L17" s="1"/>
    </row>
    <row r="18" spans="1:12" ht="15" customHeight="1">
      <c r="A18" s="5" t="s">
        <v>245</v>
      </c>
      <c r="B18" s="22">
        <v>1.0568679999999999</v>
      </c>
      <c r="C18" s="23">
        <v>5.6867923027215772</v>
      </c>
      <c r="D18" s="23">
        <v>-1.061544</v>
      </c>
      <c r="E18" s="24">
        <v>25.282278999999999</v>
      </c>
      <c r="F18" s="1"/>
      <c r="G18" s="1"/>
      <c r="H18" s="1"/>
      <c r="I18" s="1"/>
      <c r="J18" s="1"/>
      <c r="K18" s="1"/>
      <c r="L18" s="1"/>
    </row>
    <row r="19" spans="1:12" ht="15" customHeight="1">
      <c r="A19" s="5" t="s">
        <v>246</v>
      </c>
      <c r="B19" s="22">
        <v>1.5986849999999999</v>
      </c>
      <c r="C19" s="23">
        <v>59.868470678382209</v>
      </c>
      <c r="D19" s="23">
        <v>-9.1906800000000004</v>
      </c>
      <c r="E19" s="24">
        <v>203.823543</v>
      </c>
      <c r="F19" s="1"/>
      <c r="G19" s="1"/>
      <c r="H19" s="1"/>
      <c r="I19" s="1"/>
      <c r="J19" s="1"/>
      <c r="K19" s="1"/>
      <c r="L19" s="1"/>
    </row>
    <row r="20" spans="1:12" ht="15" customHeight="1">
      <c r="A20" s="1" t="s">
        <v>420</v>
      </c>
      <c r="B20" s="1" t="s">
        <v>421</v>
      </c>
      <c r="C20" s="1" t="s">
        <v>422</v>
      </c>
      <c r="D20" s="1"/>
      <c r="E20" s="1"/>
      <c r="F20" s="1"/>
      <c r="G20" s="1"/>
      <c r="H20" s="1"/>
      <c r="I20" s="1"/>
      <c r="J20" s="1"/>
      <c r="K20" s="1"/>
      <c r="L20" s="1"/>
    </row>
    <row r="21" spans="1:12" ht="15" customHeight="1">
      <c r="A21" s="29" t="s">
        <v>433</v>
      </c>
      <c r="B21" s="29" t="s">
        <v>247</v>
      </c>
      <c r="C21" s="29" t="s">
        <v>247</v>
      </c>
      <c r="D21" s="29" t="s">
        <v>247</v>
      </c>
      <c r="E21" s="29" t="s">
        <v>247</v>
      </c>
      <c r="F21" s="29" t="s">
        <v>247</v>
      </c>
      <c r="G21" s="29" t="s">
        <v>247</v>
      </c>
      <c r="H21" s="29" t="s">
        <v>247</v>
      </c>
      <c r="I21" s="29" t="s">
        <v>247</v>
      </c>
      <c r="J21" s="29" t="s">
        <v>247</v>
      </c>
      <c r="K21" s="1"/>
      <c r="L21" s="1"/>
    </row>
    <row r="22" spans="1:12" ht="15" customHeight="1">
      <c r="A22" s="3" t="s">
        <v>248</v>
      </c>
      <c r="B22" s="3" t="s">
        <v>249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62.4" customHeight="1">
      <c r="A23" s="4" t="s">
        <v>250</v>
      </c>
      <c r="B23" s="5" t="s">
        <v>251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49.2" customHeight="1">
      <c r="A24" s="4" t="s">
        <v>252</v>
      </c>
      <c r="B24" s="5" t="s">
        <v>253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48" customHeight="1">
      <c r="A25" s="4" t="s">
        <v>254</v>
      </c>
      <c r="B25" s="5" t="s">
        <v>255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57" customHeight="1">
      <c r="A26" s="4" t="s">
        <v>256</v>
      </c>
      <c r="B26" s="5" t="s">
        <v>257</v>
      </c>
      <c r="C26" s="1"/>
      <c r="D26" s="1"/>
      <c r="E26" s="1"/>
      <c r="F26" s="1"/>
      <c r="G26" s="1"/>
      <c r="H26" s="1"/>
      <c r="I26" s="1"/>
      <c r="J26" s="1"/>
      <c r="K26" s="1"/>
      <c r="L26" s="1"/>
    </row>
  </sheetData>
  <mergeCells count="5">
    <mergeCell ref="A1:J1"/>
    <mergeCell ref="A2:J2"/>
    <mergeCell ref="A4:J4"/>
    <mergeCell ref="A10:J10"/>
    <mergeCell ref="A21:J2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56"/>
  <sheetViews>
    <sheetView tabSelected="1" topLeftCell="D1" workbookViewId="0">
      <selection activeCell="N3" sqref="N1:N1048576"/>
    </sheetView>
  </sheetViews>
  <sheetFormatPr defaultRowHeight="15.6"/>
  <cols>
    <col min="1" max="1" width="20.19921875" style="2" customWidth="1"/>
    <col min="2" max="2" width="35.69921875" style="2" customWidth="1"/>
    <col min="3" max="3" width="6.3984375" style="2" customWidth="1"/>
    <col min="4" max="4" width="11.19921875" style="2" customWidth="1"/>
    <col min="5" max="5" width="8.69921875" style="2" customWidth="1"/>
    <col min="6" max="6" width="11.3984375" style="2" customWidth="1"/>
    <col min="7" max="8" width="10.19921875" style="2" customWidth="1"/>
    <col min="9" max="10" width="6.3984375" style="2" hidden="1" customWidth="1"/>
    <col min="11" max="12" width="10" style="2" customWidth="1"/>
    <col min="13" max="13" width="6.3984375" style="2" hidden="1" customWidth="1"/>
    <col min="14" max="14" width="13.19921875" style="2" customWidth="1"/>
    <col min="15" max="15" width="12.3984375" style="2" customWidth="1"/>
    <col min="16" max="16" width="12.3984375" style="2" hidden="1" customWidth="1"/>
    <col min="17" max="17" width="21.19921875" style="2" hidden="1" customWidth="1"/>
    <col min="18" max="18" width="12.5" style="2" customWidth="1"/>
    <col min="19" max="19" width="9.5" style="2" customWidth="1"/>
    <col min="20" max="20" width="18.19921875" style="2" customWidth="1"/>
    <col min="21" max="21" width="18" style="2" customWidth="1"/>
    <col min="22" max="22" width="19.3984375" style="2" customWidth="1"/>
    <col min="23" max="23" width="21.5" style="2" customWidth="1"/>
    <col min="24" max="24" width="19.3984375" style="2" customWidth="1"/>
    <col min="25" max="26" width="19.09765625" style="2" customWidth="1"/>
    <col min="27" max="27" width="11.3984375" style="2" customWidth="1"/>
    <col min="28" max="28" width="17.69921875" style="2" customWidth="1"/>
    <col min="29" max="29" width="11.19921875" style="2" customWidth="1"/>
    <col min="30" max="30" width="15.5" style="2" customWidth="1"/>
    <col min="31" max="31" width="13.5" style="2" customWidth="1"/>
    <col min="32" max="32" width="11.5" style="2" customWidth="1"/>
    <col min="33" max="33" width="13" style="2" hidden="1" customWidth="1"/>
    <col min="34" max="34" width="26.5" style="2" hidden="1" customWidth="1"/>
    <col min="35" max="35" width="13.69921875" style="2" customWidth="1"/>
    <col min="36" max="36" width="11.5" style="2" customWidth="1"/>
    <col min="37" max="37" width="26.5" style="2" hidden="1" customWidth="1"/>
    <col min="38" max="38" width="13.5" style="2" hidden="1" customWidth="1"/>
    <col min="39" max="39" width="11.19921875" style="2" hidden="1" customWidth="1"/>
    <col min="40" max="40" width="23.3984375" style="2" hidden="1" customWidth="1"/>
    <col min="41" max="41" width="26.69921875" style="2" hidden="1" customWidth="1"/>
    <col min="42" max="42" width="32" style="2" hidden="1" customWidth="1"/>
    <col min="43" max="43" width="7.09765625" style="2" hidden="1" customWidth="1"/>
    <col min="44" max="44" width="15.296875" style="2" hidden="1" customWidth="1"/>
    <col min="45" max="45" width="11.3984375" style="2" customWidth="1"/>
    <col min="46" max="46" width="13" style="2" hidden="1" customWidth="1"/>
    <col min="47" max="47" width="15.19921875" style="2" hidden="1" customWidth="1"/>
    <col min="48" max="48" width="14" style="2" customWidth="1"/>
    <col min="49" max="16384" width="8.796875" style="2"/>
  </cols>
  <sheetData>
    <row r="1" spans="1:48" ht="21">
      <c r="A1" s="40" t="s">
        <v>423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</row>
    <row r="2" spans="1:48">
      <c r="A2" s="41" t="s">
        <v>424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</row>
    <row r="3" spans="1:4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8" ht="36">
      <c r="A4" s="13" t="s">
        <v>258</v>
      </c>
      <c r="B4" s="13" t="s">
        <v>259</v>
      </c>
      <c r="C4" s="13" t="s">
        <v>260</v>
      </c>
      <c r="D4" s="13" t="s">
        <v>261</v>
      </c>
      <c r="E4" s="13" t="s">
        <v>262</v>
      </c>
      <c r="F4" s="13" t="s">
        <v>263</v>
      </c>
      <c r="G4" s="13" t="s">
        <v>21</v>
      </c>
      <c r="H4" s="13" t="s">
        <v>264</v>
      </c>
      <c r="I4" s="13" t="s">
        <v>265</v>
      </c>
      <c r="J4" s="13" t="s">
        <v>266</v>
      </c>
      <c r="K4" s="13" t="s">
        <v>267</v>
      </c>
      <c r="L4" s="13" t="s">
        <v>268</v>
      </c>
      <c r="M4" s="13" t="s">
        <v>183</v>
      </c>
      <c r="N4" s="13" t="s">
        <v>269</v>
      </c>
      <c r="O4" s="13" t="s">
        <v>270</v>
      </c>
      <c r="P4" s="13" t="s">
        <v>271</v>
      </c>
      <c r="Q4" s="13" t="s">
        <v>272</v>
      </c>
      <c r="R4" s="13" t="s">
        <v>273</v>
      </c>
      <c r="S4" s="13" t="s">
        <v>431</v>
      </c>
      <c r="T4" s="13" t="s">
        <v>274</v>
      </c>
      <c r="U4" s="13" t="s">
        <v>275</v>
      </c>
      <c r="V4" s="13" t="s">
        <v>276</v>
      </c>
      <c r="W4" s="13" t="s">
        <v>277</v>
      </c>
      <c r="X4" s="13" t="s">
        <v>278</v>
      </c>
      <c r="Y4" s="13" t="s">
        <v>279</v>
      </c>
      <c r="Z4" s="13" t="s">
        <v>280</v>
      </c>
      <c r="AA4" s="13" t="s">
        <v>281</v>
      </c>
      <c r="AB4" s="13" t="s">
        <v>282</v>
      </c>
      <c r="AC4" s="13" t="s">
        <v>283</v>
      </c>
      <c r="AD4" s="13" t="s">
        <v>284</v>
      </c>
      <c r="AE4" s="13" t="s">
        <v>285</v>
      </c>
      <c r="AF4" s="13" t="s">
        <v>286</v>
      </c>
      <c r="AG4" s="13" t="s">
        <v>287</v>
      </c>
      <c r="AH4" s="13" t="s">
        <v>288</v>
      </c>
      <c r="AI4" s="13" t="s">
        <v>289</v>
      </c>
      <c r="AJ4" s="13" t="s">
        <v>290</v>
      </c>
      <c r="AK4" s="13" t="s">
        <v>291</v>
      </c>
      <c r="AL4" s="13" t="s">
        <v>292</v>
      </c>
      <c r="AM4" s="13" t="s">
        <v>293</v>
      </c>
      <c r="AN4" s="13" t="s">
        <v>294</v>
      </c>
      <c r="AO4" s="13" t="s">
        <v>295</v>
      </c>
      <c r="AP4" s="13" t="s">
        <v>296</v>
      </c>
      <c r="AQ4" s="13" t="s">
        <v>297</v>
      </c>
      <c r="AR4" s="13" t="s">
        <v>298</v>
      </c>
      <c r="AS4" s="13" t="s">
        <v>299</v>
      </c>
      <c r="AT4" s="13" t="s">
        <v>300</v>
      </c>
      <c r="AU4" s="13" t="s">
        <v>301</v>
      </c>
      <c r="AV4" s="2" t="s">
        <v>302</v>
      </c>
    </row>
    <row r="5" spans="1:48">
      <c r="A5" s="14" t="s">
        <v>26</v>
      </c>
      <c r="B5" s="14" t="s">
        <v>303</v>
      </c>
      <c r="C5" s="15" t="b">
        <v>1</v>
      </c>
      <c r="D5" s="15" t="b">
        <v>1</v>
      </c>
      <c r="E5" s="16">
        <v>0.1</v>
      </c>
      <c r="F5" s="16">
        <v>5</v>
      </c>
      <c r="G5" s="17">
        <v>0</v>
      </c>
      <c r="H5" s="17">
        <v>4.8579576719255088E-7</v>
      </c>
      <c r="I5" s="17">
        <v>4.8579576719255088E-7</v>
      </c>
      <c r="J5" s="17">
        <v>5.0000000000000001E-3</v>
      </c>
      <c r="K5" s="17">
        <v>0</v>
      </c>
      <c r="L5" s="17">
        <v>4.8579553119513814E-7</v>
      </c>
      <c r="M5" s="17">
        <v>4.9207914419242118E-7</v>
      </c>
      <c r="N5" s="18">
        <v>1.9819562745657977E-8</v>
      </c>
      <c r="O5" s="17">
        <v>4.9970301695500492</v>
      </c>
      <c r="P5" s="17">
        <v>4.9970301695500492</v>
      </c>
      <c r="Q5" s="14" t="s">
        <v>304</v>
      </c>
      <c r="R5" s="14">
        <v>0.79916686825170147</v>
      </c>
      <c r="S5" s="17">
        <v>9.9999999999999969E-8</v>
      </c>
      <c r="T5" s="17">
        <v>40.000000000000021</v>
      </c>
      <c r="U5" s="17">
        <v>101.32500000000003</v>
      </c>
      <c r="V5" s="17">
        <v>144.89778939210319</v>
      </c>
      <c r="W5" s="17">
        <v>144.84778650535387</v>
      </c>
      <c r="X5" s="17">
        <v>144.84778650535387</v>
      </c>
      <c r="Y5" s="17">
        <v>141.32499999999999</v>
      </c>
      <c r="Z5" s="17">
        <v>141.32500000000005</v>
      </c>
      <c r="AA5" s="14">
        <v>8.3444884149007872E-2</v>
      </c>
      <c r="AB5" s="17">
        <v>21.278177243285992</v>
      </c>
      <c r="AC5" s="19">
        <v>19.856929610439749</v>
      </c>
      <c r="AD5" s="19">
        <v>10.584699740305251</v>
      </c>
      <c r="AE5" s="17">
        <v>0.50449607326902191</v>
      </c>
      <c r="AF5" s="14">
        <v>0</v>
      </c>
      <c r="AG5" s="14">
        <v>0</v>
      </c>
      <c r="AH5" s="14" t="s">
        <v>305</v>
      </c>
      <c r="AI5" s="14">
        <v>0.51937392701248053</v>
      </c>
      <c r="AJ5" s="14">
        <v>0</v>
      </c>
      <c r="AK5" s="14" t="s">
        <v>305</v>
      </c>
      <c r="AL5" s="14"/>
      <c r="AM5" s="14"/>
      <c r="AN5" s="14" t="s">
        <v>306</v>
      </c>
      <c r="AO5" s="14" t="s">
        <v>307</v>
      </c>
      <c r="AP5" s="14" t="s">
        <v>308</v>
      </c>
      <c r="AQ5" s="14"/>
      <c r="AR5" s="14">
        <f t="shared" ref="AR5:AR37" si="0">MAX(0,AE5-1)*100</f>
        <v>0</v>
      </c>
      <c r="AS5" s="14">
        <f t="shared" ref="AS5:AS37" si="1">AF5*1000000</f>
        <v>0</v>
      </c>
      <c r="AT5" s="14">
        <f t="shared" ref="AT5:AT37" si="2">AG5*1000000</f>
        <v>0</v>
      </c>
      <c r="AU5" s="14">
        <f t="shared" ref="AU5:AU37" si="3">(Z5-Y5)*1000</f>
        <v>5.6843418860808015E-11</v>
      </c>
    </row>
    <row r="6" spans="1:48">
      <c r="A6" s="14" t="s">
        <v>26</v>
      </c>
      <c r="B6" s="14" t="s">
        <v>309</v>
      </c>
      <c r="C6" s="15" t="b">
        <v>1</v>
      </c>
      <c r="D6" s="15" t="b">
        <v>1</v>
      </c>
      <c r="E6" s="16">
        <v>0.1</v>
      </c>
      <c r="F6" s="16">
        <v>5</v>
      </c>
      <c r="G6" s="17">
        <v>0.4</v>
      </c>
      <c r="H6" s="17">
        <v>0.39999999992605334</v>
      </c>
      <c r="I6" s="17">
        <v>-7.3946682110914708E-11</v>
      </c>
      <c r="J6" s="17">
        <v>2.0000000000000004E-2</v>
      </c>
      <c r="K6" s="17">
        <v>0.28571428571428575</v>
      </c>
      <c r="L6" s="17">
        <v>0.28571428567655777</v>
      </c>
      <c r="M6" s="17">
        <v>0.29115866162682297</v>
      </c>
      <c r="N6" s="18">
        <v>1.165661651592609E-2</v>
      </c>
      <c r="O6" s="17">
        <v>4.6246727564693044</v>
      </c>
      <c r="P6" s="17">
        <v>4.6246727560567091</v>
      </c>
      <c r="Q6" s="14" t="s">
        <v>304</v>
      </c>
      <c r="R6" s="14">
        <v>0.79821105070114129</v>
      </c>
      <c r="S6" s="17">
        <v>5.9527374138227201E-2</v>
      </c>
      <c r="T6" s="17">
        <v>39.999999999438927</v>
      </c>
      <c r="U6" s="17">
        <v>101.32500000000003</v>
      </c>
      <c r="V6" s="17">
        <v>144.87596882742247</v>
      </c>
      <c r="W6" s="17">
        <v>144.82596594067323</v>
      </c>
      <c r="X6" s="17">
        <v>144.82596594067323</v>
      </c>
      <c r="Y6" s="17">
        <v>141.32499999999999</v>
      </c>
      <c r="Z6" s="17">
        <v>141.32499999943894</v>
      </c>
      <c r="AA6" s="14">
        <v>0.23858741229647898</v>
      </c>
      <c r="AB6" s="17">
        <v>19.497570913836093</v>
      </c>
      <c r="AC6" s="19">
        <v>31.749643426298633</v>
      </c>
      <c r="AD6" s="19">
        <v>5.8432581399700751</v>
      </c>
      <c r="AE6" s="17">
        <v>0.71287738572869763</v>
      </c>
      <c r="AF6" s="14">
        <v>0</v>
      </c>
      <c r="AG6" s="14">
        <v>0</v>
      </c>
      <c r="AH6" s="14" t="s">
        <v>305</v>
      </c>
      <c r="AI6" s="14">
        <v>0.60633017731221295</v>
      </c>
      <c r="AJ6" s="14">
        <v>0</v>
      </c>
      <c r="AK6" s="14" t="s">
        <v>305</v>
      </c>
      <c r="AL6" s="14"/>
      <c r="AM6" s="14"/>
      <c r="AN6" s="14" t="s">
        <v>306</v>
      </c>
      <c r="AO6" s="14" t="s">
        <v>310</v>
      </c>
      <c r="AP6" s="14" t="s">
        <v>308</v>
      </c>
      <c r="AQ6" s="14"/>
      <c r="AR6" s="14">
        <f t="shared" si="0"/>
        <v>0</v>
      </c>
      <c r="AS6" s="14">
        <f t="shared" si="1"/>
        <v>0</v>
      </c>
      <c r="AT6" s="14">
        <f t="shared" si="2"/>
        <v>0</v>
      </c>
      <c r="AU6" s="14">
        <f t="shared" si="3"/>
        <v>-5.6104454415617511E-7</v>
      </c>
    </row>
    <row r="7" spans="1:48">
      <c r="A7" s="14" t="s">
        <v>26</v>
      </c>
      <c r="B7" s="14" t="s">
        <v>311</v>
      </c>
      <c r="C7" s="15" t="b">
        <v>1</v>
      </c>
      <c r="D7" s="15" t="b">
        <v>1</v>
      </c>
      <c r="E7" s="16">
        <v>0.1</v>
      </c>
      <c r="F7" s="16">
        <v>5</v>
      </c>
      <c r="G7" s="17">
        <v>1</v>
      </c>
      <c r="H7" s="17">
        <v>0.99999997873168145</v>
      </c>
      <c r="I7" s="17">
        <v>-2.1268318550760057E-8</v>
      </c>
      <c r="J7" s="17">
        <v>0.05</v>
      </c>
      <c r="K7" s="17">
        <v>0.5</v>
      </c>
      <c r="L7" s="17">
        <v>0.49999999468292039</v>
      </c>
      <c r="M7" s="17">
        <v>0.51313381816088888</v>
      </c>
      <c r="N7" s="18">
        <v>2.0399078662389363E-2</v>
      </c>
      <c r="O7" s="17">
        <v>4.0778941907033621</v>
      </c>
      <c r="P7" s="17">
        <v>4.0778940791114708</v>
      </c>
      <c r="Q7" s="14" t="s">
        <v>304</v>
      </c>
      <c r="R7" s="14">
        <v>0.79670914461354192</v>
      </c>
      <c r="S7" s="17">
        <v>0.10318669842882887</v>
      </c>
      <c r="T7" s="17">
        <v>40.000000244540253</v>
      </c>
      <c r="U7" s="17">
        <v>101.32500000000003</v>
      </c>
      <c r="V7" s="17">
        <v>144.8506054337189</v>
      </c>
      <c r="W7" s="17">
        <v>144.80060254709835</v>
      </c>
      <c r="X7" s="17">
        <v>144.80060254709835</v>
      </c>
      <c r="Y7" s="17">
        <v>141.32499999999999</v>
      </c>
      <c r="Z7" s="17">
        <v>141.32500024454026</v>
      </c>
      <c r="AA7" s="14">
        <v>0.39679222377036655</v>
      </c>
      <c r="AB7" s="17">
        <v>17.000771001044299</v>
      </c>
      <c r="AC7" s="19">
        <v>40.55230619331661</v>
      </c>
      <c r="AD7" s="19">
        <v>5.761300466869713</v>
      </c>
      <c r="AE7" s="17">
        <v>0.73159817778862646</v>
      </c>
      <c r="AF7" s="14">
        <v>0</v>
      </c>
      <c r="AG7" s="14">
        <v>0</v>
      </c>
      <c r="AH7" s="14" t="s">
        <v>305</v>
      </c>
      <c r="AI7" s="14">
        <v>0.68977772372002055</v>
      </c>
      <c r="AJ7" s="14">
        <v>0</v>
      </c>
      <c r="AK7" s="14" t="s">
        <v>305</v>
      </c>
      <c r="AL7" s="14"/>
      <c r="AM7" s="14"/>
      <c r="AN7" s="14" t="s">
        <v>306</v>
      </c>
      <c r="AO7" s="14" t="s">
        <v>310</v>
      </c>
      <c r="AP7" s="14" t="s">
        <v>308</v>
      </c>
      <c r="AQ7" s="14"/>
      <c r="AR7" s="14">
        <f t="shared" si="0"/>
        <v>0</v>
      </c>
      <c r="AS7" s="14">
        <f t="shared" si="1"/>
        <v>0</v>
      </c>
      <c r="AT7" s="14">
        <f t="shared" si="2"/>
        <v>0</v>
      </c>
      <c r="AU7" s="14">
        <f t="shared" si="3"/>
        <v>2.4454027425235836E-4</v>
      </c>
    </row>
    <row r="8" spans="1:48">
      <c r="A8" s="14" t="s">
        <v>26</v>
      </c>
      <c r="B8" s="14" t="s">
        <v>312</v>
      </c>
      <c r="C8" s="15" t="b">
        <v>1</v>
      </c>
      <c r="D8" s="15" t="b">
        <v>1</v>
      </c>
      <c r="E8" s="16">
        <v>0.1</v>
      </c>
      <c r="F8" s="16">
        <v>5</v>
      </c>
      <c r="G8" s="17">
        <v>2</v>
      </c>
      <c r="H8" s="17">
        <v>2</v>
      </c>
      <c r="I8" s="17">
        <v>0</v>
      </c>
      <c r="J8" s="17">
        <v>0.1</v>
      </c>
      <c r="K8" s="17">
        <v>0.66666666666666663</v>
      </c>
      <c r="L8" s="17">
        <v>0.66666666666666663</v>
      </c>
      <c r="M8" s="17">
        <v>0.68908425426985309</v>
      </c>
      <c r="N8" s="18">
        <v>2.7198771874110007E-2</v>
      </c>
      <c r="O8" s="17">
        <v>3.1410356000191251</v>
      </c>
      <c r="P8" s="17">
        <v>3.1410356000191211</v>
      </c>
      <c r="Q8" s="14" t="s">
        <v>304</v>
      </c>
      <c r="R8" s="14">
        <v>0.79320678239625875</v>
      </c>
      <c r="S8" s="17">
        <v>0.13696070382882561</v>
      </c>
      <c r="T8" s="17">
        <v>40.000000000000021</v>
      </c>
      <c r="U8" s="17">
        <v>101.32500000000003</v>
      </c>
      <c r="V8" s="17">
        <v>144.82510756775017</v>
      </c>
      <c r="W8" s="17">
        <v>144.77510468100087</v>
      </c>
      <c r="X8" s="17">
        <v>144.77510468100087</v>
      </c>
      <c r="Y8" s="17">
        <v>141.32499999999999</v>
      </c>
      <c r="Z8" s="17">
        <v>141.32500000000005</v>
      </c>
      <c r="AA8" s="14">
        <v>0.56785092745804111</v>
      </c>
      <c r="AB8" s="17">
        <v>12.909858608924429</v>
      </c>
      <c r="AC8" s="19">
        <v>47.300574999650848</v>
      </c>
      <c r="AD8" s="19">
        <v>5.8758214892946796</v>
      </c>
      <c r="AE8" s="17">
        <v>0.73812196662561202</v>
      </c>
      <c r="AF8" s="14">
        <v>0</v>
      </c>
      <c r="AG8" s="14">
        <v>0</v>
      </c>
      <c r="AH8" s="14" t="s">
        <v>305</v>
      </c>
      <c r="AI8" s="14">
        <v>0.78959712184920805</v>
      </c>
      <c r="AJ8" s="14">
        <v>0</v>
      </c>
      <c r="AK8" s="14" t="s">
        <v>305</v>
      </c>
      <c r="AL8" s="14"/>
      <c r="AM8" s="14"/>
      <c r="AN8" s="14" t="s">
        <v>306</v>
      </c>
      <c r="AO8" s="14" t="s">
        <v>310</v>
      </c>
      <c r="AP8" s="14" t="s">
        <v>308</v>
      </c>
      <c r="AQ8" s="14"/>
      <c r="AR8" s="14">
        <f t="shared" si="0"/>
        <v>0</v>
      </c>
      <c r="AS8" s="14">
        <f t="shared" si="1"/>
        <v>0</v>
      </c>
      <c r="AT8" s="14">
        <f t="shared" si="2"/>
        <v>0</v>
      </c>
      <c r="AU8" s="14">
        <f t="shared" si="3"/>
        <v>5.6843418860808015E-11</v>
      </c>
    </row>
    <row r="9" spans="1:48">
      <c r="A9" s="14" t="s">
        <v>26</v>
      </c>
      <c r="B9" s="14" t="s">
        <v>313</v>
      </c>
      <c r="C9" s="15" t="b">
        <v>1</v>
      </c>
      <c r="D9" s="15" t="b">
        <v>1</v>
      </c>
      <c r="E9" s="16">
        <v>0.1</v>
      </c>
      <c r="F9" s="16">
        <v>5</v>
      </c>
      <c r="G9" s="17">
        <v>3</v>
      </c>
      <c r="H9" s="17">
        <v>2.9999999905251773</v>
      </c>
      <c r="I9" s="17">
        <v>-9.4748227041918653E-9</v>
      </c>
      <c r="J9" s="17">
        <v>0.15000000000000002</v>
      </c>
      <c r="K9" s="17">
        <v>0.75</v>
      </c>
      <c r="L9" s="17">
        <v>0.7499999994078228</v>
      </c>
      <c r="M9" s="17">
        <v>0.7788028635125237</v>
      </c>
      <c r="N9" s="18">
        <v>3.0598618364844468E-2</v>
      </c>
      <c r="O9" s="17">
        <v>2.1268746130207146</v>
      </c>
      <c r="P9" s="17">
        <v>2.126872796008243</v>
      </c>
      <c r="Q9" s="14" t="s">
        <v>304</v>
      </c>
      <c r="R9" s="14">
        <v>0.78772009818661315</v>
      </c>
      <c r="S9" s="17">
        <v>0.15408218662959325</v>
      </c>
      <c r="T9" s="17">
        <v>39.999999819554091</v>
      </c>
      <c r="U9" s="17">
        <v>101.32500000000002</v>
      </c>
      <c r="V9" s="17">
        <v>144.80875573550017</v>
      </c>
      <c r="W9" s="17">
        <v>144.75875284865077</v>
      </c>
      <c r="X9" s="17">
        <v>144.75875284865083</v>
      </c>
      <c r="Y9" s="17">
        <v>141.32499999999999</v>
      </c>
      <c r="Z9" s="17">
        <v>141.32499981955414</v>
      </c>
      <c r="AA9" s="14">
        <v>0.6816687054147812</v>
      </c>
      <c r="AB9" s="17">
        <v>8.6389693951349056</v>
      </c>
      <c r="AC9" s="19">
        <v>50.630450542081633</v>
      </c>
      <c r="AD9" s="19">
        <v>5.6972841791983768</v>
      </c>
      <c r="AE9" s="17">
        <v>0.75027916730382749</v>
      </c>
      <c r="AF9" s="14">
        <v>0</v>
      </c>
      <c r="AG9" s="14">
        <v>0</v>
      </c>
      <c r="AH9" s="14" t="s">
        <v>305</v>
      </c>
      <c r="AI9" s="14">
        <v>0.86063871115699275</v>
      </c>
      <c r="AJ9" s="14">
        <v>0</v>
      </c>
      <c r="AK9" s="14" t="s">
        <v>305</v>
      </c>
      <c r="AL9" s="14"/>
      <c r="AM9" s="14"/>
      <c r="AN9" s="14" t="s">
        <v>306</v>
      </c>
      <c r="AO9" s="14" t="s">
        <v>310</v>
      </c>
      <c r="AP9" s="14" t="s">
        <v>308</v>
      </c>
      <c r="AQ9" s="14"/>
      <c r="AR9" s="14">
        <f t="shared" si="0"/>
        <v>0</v>
      </c>
      <c r="AS9" s="14">
        <f t="shared" si="1"/>
        <v>0</v>
      </c>
      <c r="AT9" s="14">
        <f t="shared" si="2"/>
        <v>0</v>
      </c>
      <c r="AU9" s="14">
        <f t="shared" si="3"/>
        <v>-1.8044585203824681E-4</v>
      </c>
    </row>
    <row r="10" spans="1:48">
      <c r="A10" s="14" t="s">
        <v>26</v>
      </c>
      <c r="B10" s="14" t="s">
        <v>314</v>
      </c>
      <c r="C10" s="15" t="b">
        <v>0</v>
      </c>
      <c r="D10" s="15" t="b">
        <v>0</v>
      </c>
      <c r="E10" s="16">
        <v>0.1</v>
      </c>
      <c r="F10" s="16">
        <v>5</v>
      </c>
      <c r="G10" s="17">
        <v>4</v>
      </c>
      <c r="H10" s="17"/>
      <c r="I10" s="17"/>
      <c r="J10" s="17">
        <v>5.0000000000000001E-3</v>
      </c>
      <c r="K10" s="17">
        <v>0.8</v>
      </c>
      <c r="L10" s="17"/>
      <c r="M10" s="17"/>
      <c r="N10" s="18"/>
      <c r="O10" s="17"/>
      <c r="P10" s="17"/>
      <c r="Q10" s="14" t="s">
        <v>315</v>
      </c>
      <c r="R10" s="14"/>
      <c r="S10" s="17"/>
      <c r="T10" s="17"/>
      <c r="U10" s="17"/>
      <c r="V10" s="17"/>
      <c r="W10" s="17"/>
      <c r="X10" s="17"/>
      <c r="Y10" s="17">
        <v>141.32499999999999</v>
      </c>
      <c r="Z10" s="17"/>
      <c r="AA10" s="14"/>
      <c r="AB10" s="17"/>
      <c r="AC10" s="19"/>
      <c r="AD10" s="19"/>
      <c r="AE10" s="17"/>
      <c r="AF10" s="14"/>
      <c r="AG10" s="14"/>
      <c r="AH10" s="14" t="s">
        <v>315</v>
      </c>
      <c r="AI10" s="14"/>
      <c r="AJ10" s="14"/>
      <c r="AK10" s="14" t="s">
        <v>315</v>
      </c>
      <c r="AL10" s="14"/>
      <c r="AM10" s="14"/>
      <c r="AN10" s="14" t="s">
        <v>306</v>
      </c>
      <c r="AO10" s="14" t="s">
        <v>316</v>
      </c>
      <c r="AP10" s="14" t="s">
        <v>317</v>
      </c>
      <c r="AQ10" s="14" t="s">
        <v>318</v>
      </c>
      <c r="AR10" s="14">
        <f t="shared" si="0"/>
        <v>0</v>
      </c>
      <c r="AS10" s="14">
        <f t="shared" si="1"/>
        <v>0</v>
      </c>
      <c r="AT10" s="14">
        <f t="shared" si="2"/>
        <v>0</v>
      </c>
      <c r="AU10" s="14">
        <f t="shared" si="3"/>
        <v>-141325</v>
      </c>
      <c r="AV10" s="2" t="s">
        <v>319</v>
      </c>
    </row>
    <row r="11" spans="1:48" s="20" customFormat="1" ht="13.2">
      <c r="A11" s="20" t="s">
        <v>320</v>
      </c>
      <c r="B11" s="20" t="s">
        <v>321</v>
      </c>
      <c r="C11" s="21" t="b">
        <v>1</v>
      </c>
      <c r="D11" s="21" t="b">
        <v>1</v>
      </c>
      <c r="E11" s="20">
        <v>0.1</v>
      </c>
      <c r="F11" s="20">
        <v>5.0999999999999996</v>
      </c>
      <c r="G11" s="20">
        <v>4</v>
      </c>
      <c r="H11" s="20">
        <v>4.0000001876053197</v>
      </c>
      <c r="I11" s="20">
        <v>1.8760531999999999E-7</v>
      </c>
      <c r="J11" s="20">
        <v>0.2</v>
      </c>
      <c r="K11" s="20">
        <v>0.8</v>
      </c>
      <c r="L11" s="20">
        <v>0.80000000750421096</v>
      </c>
      <c r="M11" s="20">
        <v>0.83261820557504995</v>
      </c>
      <c r="N11" s="20">
        <v>3.32912971049543E-2</v>
      </c>
      <c r="O11" s="20">
        <v>1.1158856992502599</v>
      </c>
      <c r="P11" s="20">
        <v>1.1158832719128799</v>
      </c>
      <c r="Q11" s="20" t="s">
        <v>322</v>
      </c>
      <c r="R11" s="20">
        <f>466.983353662882/606</f>
        <v>0.77059959350310558</v>
      </c>
      <c r="S11" s="20">
        <v>0.16771951153963399</v>
      </c>
      <c r="T11" s="20">
        <v>40.000000497773698</v>
      </c>
      <c r="U11" s="20">
        <v>101.325</v>
      </c>
      <c r="V11" s="20">
        <v>144.87335417946599</v>
      </c>
      <c r="W11" s="20">
        <v>144.821331277029</v>
      </c>
      <c r="X11" s="20">
        <v>144.821331277029</v>
      </c>
      <c r="Y11" s="20">
        <v>141.32499999999999</v>
      </c>
      <c r="Z11" s="20">
        <v>141.325000497774</v>
      </c>
      <c r="AA11" s="20">
        <v>0.76007771725047701</v>
      </c>
      <c r="AB11" s="20">
        <v>4.3990593115895402</v>
      </c>
      <c r="AC11" s="20">
        <v>52.597765362705303</v>
      </c>
      <c r="AD11" s="20">
        <v>5.5369515069456599</v>
      </c>
      <c r="AE11" s="20">
        <v>0.759423005546777</v>
      </c>
      <c r="AF11" s="20">
        <v>0</v>
      </c>
      <c r="AG11" s="20">
        <v>0</v>
      </c>
      <c r="AH11" s="20" t="s">
        <v>305</v>
      </c>
      <c r="AI11" s="20">
        <v>0.90923464499574602</v>
      </c>
      <c r="AJ11" s="20">
        <v>0</v>
      </c>
      <c r="AK11" s="20" t="s">
        <v>305</v>
      </c>
      <c r="AO11" s="20" t="s">
        <v>310</v>
      </c>
      <c r="AP11" s="20" t="s">
        <v>323</v>
      </c>
      <c r="AR11" s="20">
        <v>0</v>
      </c>
      <c r="AS11" s="20">
        <v>0</v>
      </c>
      <c r="AT11" s="20">
        <v>0</v>
      </c>
      <c r="AU11" s="20">
        <v>4.9777400000000005E-7</v>
      </c>
      <c r="AV11" s="20" t="s">
        <v>324</v>
      </c>
    </row>
    <row r="12" spans="1:48">
      <c r="A12" s="14" t="s">
        <v>26</v>
      </c>
      <c r="B12" s="14" t="s">
        <v>325</v>
      </c>
      <c r="C12" s="15" t="b">
        <v>1</v>
      </c>
      <c r="D12" s="15" t="b">
        <v>1</v>
      </c>
      <c r="E12" s="16">
        <v>0.2</v>
      </c>
      <c r="F12" s="16">
        <v>3.6</v>
      </c>
      <c r="G12" s="17">
        <v>0</v>
      </c>
      <c r="H12" s="17">
        <v>4.0183035854639853E-7</v>
      </c>
      <c r="I12" s="17">
        <v>4.0183035854639853E-7</v>
      </c>
      <c r="J12" s="17">
        <v>5.0000000000000001E-3</v>
      </c>
      <c r="K12" s="17">
        <v>0</v>
      </c>
      <c r="L12" s="17">
        <v>4.0183019707882649E-7</v>
      </c>
      <c r="M12" s="17">
        <v>4.06844683482131E-7</v>
      </c>
      <c r="N12" s="18">
        <v>2.3607261782947438E-8</v>
      </c>
      <c r="O12" s="17">
        <v>3.5978616288185306</v>
      </c>
      <c r="P12" s="17">
        <v>3.5978616288185301</v>
      </c>
      <c r="Q12" s="14" t="s">
        <v>304</v>
      </c>
      <c r="R12" s="14">
        <v>0.7806292643912901</v>
      </c>
      <c r="S12" s="17">
        <v>9.9999999999999982E-8</v>
      </c>
      <c r="T12" s="17">
        <v>55.000000000000014</v>
      </c>
      <c r="U12" s="17">
        <v>101.32500000000002</v>
      </c>
      <c r="V12" s="17">
        <v>161.58922115452003</v>
      </c>
      <c r="W12" s="17">
        <v>161.48553785245727</v>
      </c>
      <c r="X12" s="17">
        <v>161.48553785245727</v>
      </c>
      <c r="Y12" s="17">
        <v>156.32499999999999</v>
      </c>
      <c r="Z12" s="17">
        <v>156.32499999999999</v>
      </c>
      <c r="AA12" s="14">
        <v>8.4689973360047771E-2</v>
      </c>
      <c r="AB12" s="17">
        <v>21.278176459990288</v>
      </c>
      <c r="AC12" s="19">
        <v>19.703962519375352</v>
      </c>
      <c r="AD12" s="19">
        <v>10.431696351906869</v>
      </c>
      <c r="AE12" s="17">
        <v>0.50930809963486923</v>
      </c>
      <c r="AF12" s="14">
        <v>0</v>
      </c>
      <c r="AG12" s="14">
        <v>0</v>
      </c>
      <c r="AH12" s="14" t="s">
        <v>305</v>
      </c>
      <c r="AI12" s="14">
        <v>0.71433833833044591</v>
      </c>
      <c r="AJ12" s="14">
        <v>0</v>
      </c>
      <c r="AK12" s="14" t="s">
        <v>305</v>
      </c>
      <c r="AL12" s="14"/>
      <c r="AM12" s="14"/>
      <c r="AN12" s="14" t="s">
        <v>306</v>
      </c>
      <c r="AO12" s="14" t="s">
        <v>307</v>
      </c>
      <c r="AP12" s="14" t="s">
        <v>308</v>
      </c>
      <c r="AQ12" s="14"/>
      <c r="AR12" s="14">
        <f t="shared" si="0"/>
        <v>0</v>
      </c>
      <c r="AS12" s="14">
        <f t="shared" si="1"/>
        <v>0</v>
      </c>
      <c r="AT12" s="14">
        <f t="shared" si="2"/>
        <v>0</v>
      </c>
      <c r="AU12" s="14">
        <f t="shared" si="3"/>
        <v>0</v>
      </c>
    </row>
    <row r="13" spans="1:48">
      <c r="A13" s="14" t="s">
        <v>26</v>
      </c>
      <c r="B13" s="14" t="s">
        <v>326</v>
      </c>
      <c r="C13" s="15" t="b">
        <v>1</v>
      </c>
      <c r="D13" s="15" t="b">
        <v>1</v>
      </c>
      <c r="E13" s="16">
        <v>0.2</v>
      </c>
      <c r="F13" s="16">
        <v>3.6</v>
      </c>
      <c r="G13" s="17">
        <v>0.26</v>
      </c>
      <c r="H13" s="17">
        <v>0.25999999999995671</v>
      </c>
      <c r="I13" s="17">
        <v>-4.3298697960381105E-14</v>
      </c>
      <c r="J13" s="17">
        <v>1.3000000000000001E-2</v>
      </c>
      <c r="K13" s="17">
        <v>0.20634920634920637</v>
      </c>
      <c r="L13" s="17">
        <v>0.20634920634917908</v>
      </c>
      <c r="M13" s="17">
        <v>0.20995178917154284</v>
      </c>
      <c r="N13" s="18">
        <v>1.2122881178173202E-2</v>
      </c>
      <c r="O13" s="17">
        <v>3.3485330195252581</v>
      </c>
      <c r="P13" s="17">
        <v>3.3485330195199845</v>
      </c>
      <c r="Q13" s="14" t="s">
        <v>304</v>
      </c>
      <c r="R13" s="14">
        <v>0.78030427495617061</v>
      </c>
      <c r="S13" s="17">
        <v>5.2622508508171517E-2</v>
      </c>
      <c r="T13" s="17">
        <v>55.00000000000118</v>
      </c>
      <c r="U13" s="17">
        <v>101.32500000000002</v>
      </c>
      <c r="V13" s="17">
        <v>161.56237579302226</v>
      </c>
      <c r="W13" s="17">
        <v>161.45869249095944</v>
      </c>
      <c r="X13" s="17">
        <v>161.45869249095946</v>
      </c>
      <c r="Y13" s="17">
        <v>156.32499999999999</v>
      </c>
      <c r="Z13" s="17">
        <v>156.32500000000121</v>
      </c>
      <c r="AA13" s="14">
        <v>0.24326992270331979</v>
      </c>
      <c r="AB13" s="17">
        <v>19.609441212835893</v>
      </c>
      <c r="AC13" s="19">
        <v>28.8823548205674</v>
      </c>
      <c r="AD13" s="19">
        <v>2.8971969602630026</v>
      </c>
      <c r="AE13" s="17">
        <v>0.84403337336140238</v>
      </c>
      <c r="AF13" s="14">
        <v>0</v>
      </c>
      <c r="AG13" s="14">
        <v>0</v>
      </c>
      <c r="AH13" s="14" t="s">
        <v>305</v>
      </c>
      <c r="AI13" s="14">
        <v>0.81306328007602369</v>
      </c>
      <c r="AJ13" s="14">
        <v>0</v>
      </c>
      <c r="AK13" s="14" t="s">
        <v>305</v>
      </c>
      <c r="AL13" s="14"/>
      <c r="AM13" s="14"/>
      <c r="AN13" s="14" t="s">
        <v>306</v>
      </c>
      <c r="AO13" s="14" t="s">
        <v>310</v>
      </c>
      <c r="AP13" s="14" t="s">
        <v>308</v>
      </c>
      <c r="AQ13" s="14"/>
      <c r="AR13" s="14">
        <f t="shared" si="0"/>
        <v>0</v>
      </c>
      <c r="AS13" s="14">
        <f t="shared" si="1"/>
        <v>0</v>
      </c>
      <c r="AT13" s="14">
        <f t="shared" si="2"/>
        <v>0</v>
      </c>
      <c r="AU13" s="14">
        <f t="shared" si="3"/>
        <v>1.2221335055073723E-9</v>
      </c>
    </row>
    <row r="14" spans="1:48">
      <c r="A14" s="14" t="s">
        <v>26</v>
      </c>
      <c r="B14" s="14" t="s">
        <v>327</v>
      </c>
      <c r="C14" s="15" t="b">
        <v>1</v>
      </c>
      <c r="D14" s="15" t="b">
        <v>1</v>
      </c>
      <c r="E14" s="16">
        <v>0.2</v>
      </c>
      <c r="F14" s="16">
        <v>3.6</v>
      </c>
      <c r="G14" s="17">
        <v>0.65</v>
      </c>
      <c r="H14" s="17">
        <v>0.64999999041492007</v>
      </c>
      <c r="I14" s="17">
        <v>-9.5850799519681118E-9</v>
      </c>
      <c r="J14" s="17">
        <v>3.2500000000000001E-2</v>
      </c>
      <c r="K14" s="17">
        <v>0.39393939393939398</v>
      </c>
      <c r="L14" s="17">
        <v>0.39393939041870329</v>
      </c>
      <c r="M14" s="17">
        <v>0.40295650131574356</v>
      </c>
      <c r="N14" s="18">
        <v>2.3143682049654352E-2</v>
      </c>
      <c r="O14" s="17">
        <v>2.9772910444800069</v>
      </c>
      <c r="P14" s="17">
        <v>2.977290809898387</v>
      </c>
      <c r="Q14" s="14" t="s">
        <v>304</v>
      </c>
      <c r="R14" s="14">
        <v>0.77828489126592204</v>
      </c>
      <c r="S14" s="17">
        <v>9.9853826815797395E-2</v>
      </c>
      <c r="T14" s="17">
        <v>54.999999953686647</v>
      </c>
      <c r="U14" s="17">
        <v>101.32500000000002</v>
      </c>
      <c r="V14" s="17">
        <v>161.53342072797716</v>
      </c>
      <c r="W14" s="17">
        <v>161.42973742585252</v>
      </c>
      <c r="X14" s="17">
        <v>161.42973742585258</v>
      </c>
      <c r="Y14" s="17">
        <v>156.32499999999999</v>
      </c>
      <c r="Z14" s="17">
        <v>156.32499995368664</v>
      </c>
      <c r="AA14" s="14">
        <v>0.44246959203489361</v>
      </c>
      <c r="AB14" s="17">
        <v>17.211174910813718</v>
      </c>
      <c r="AC14" s="19">
        <v>37.148399184025322</v>
      </c>
      <c r="AD14" s="19">
        <v>0.64513429206648709</v>
      </c>
      <c r="AE14" s="17">
        <v>0.96540315839006297</v>
      </c>
      <c r="AF14" s="14">
        <v>0</v>
      </c>
      <c r="AG14" s="14">
        <v>0</v>
      </c>
      <c r="AH14" s="14" t="s">
        <v>328</v>
      </c>
      <c r="AI14" s="14">
        <v>0.94890571400722479</v>
      </c>
      <c r="AJ14" s="14">
        <v>0</v>
      </c>
      <c r="AK14" s="14" t="s">
        <v>305</v>
      </c>
      <c r="AL14" s="14"/>
      <c r="AM14" s="14"/>
      <c r="AN14" s="14" t="s">
        <v>306</v>
      </c>
      <c r="AO14" s="14" t="s">
        <v>310</v>
      </c>
      <c r="AP14" s="14" t="s">
        <v>329</v>
      </c>
      <c r="AQ14" s="14"/>
      <c r="AR14" s="14">
        <f t="shared" si="0"/>
        <v>0</v>
      </c>
      <c r="AS14" s="14">
        <f t="shared" si="1"/>
        <v>0</v>
      </c>
      <c r="AT14" s="14">
        <f t="shared" si="2"/>
        <v>0</v>
      </c>
      <c r="AU14" s="14">
        <f t="shared" si="3"/>
        <v>-4.6313346047099913E-5</v>
      </c>
    </row>
    <row r="15" spans="1:48">
      <c r="A15" s="14" t="s">
        <v>26</v>
      </c>
      <c r="B15" s="14" t="s">
        <v>330</v>
      </c>
      <c r="C15" s="15" t="b">
        <v>1</v>
      </c>
      <c r="D15" s="15" t="b">
        <v>1</v>
      </c>
      <c r="E15" s="16">
        <v>0.2</v>
      </c>
      <c r="F15" s="16">
        <v>3.6</v>
      </c>
      <c r="G15" s="17">
        <v>1.3</v>
      </c>
      <c r="H15" s="17">
        <v>1.2999999993189053</v>
      </c>
      <c r="I15" s="17">
        <v>-6.8109473616573268E-10</v>
      </c>
      <c r="J15" s="17">
        <v>6.5000000000000002E-2</v>
      </c>
      <c r="K15" s="17">
        <v>0.56521739130434789</v>
      </c>
      <c r="L15" s="17">
        <v>0.56521739117559611</v>
      </c>
      <c r="M15" s="17">
        <v>0.58050085009859753</v>
      </c>
      <c r="N15" s="18">
        <v>3.3206152786658311E-2</v>
      </c>
      <c r="O15" s="17">
        <v>2.3451572333476496</v>
      </c>
      <c r="P15" s="17">
        <v>2.3451503290082893</v>
      </c>
      <c r="Q15" s="14" t="s">
        <v>304</v>
      </c>
      <c r="R15" s="14">
        <v>0.77243447203248894</v>
      </c>
      <c r="S15" s="17">
        <v>0.14338671270230277</v>
      </c>
      <c r="T15" s="17">
        <v>54.999999952524021</v>
      </c>
      <c r="U15" s="17">
        <v>101.32500000000002</v>
      </c>
      <c r="V15" s="17">
        <v>161.51151699977552</v>
      </c>
      <c r="W15" s="17">
        <v>161.40783369770119</v>
      </c>
      <c r="X15" s="17">
        <v>161.40783369770125</v>
      </c>
      <c r="Y15" s="17">
        <v>156.32499999999999</v>
      </c>
      <c r="Z15" s="17">
        <v>156.32499995252402</v>
      </c>
      <c r="AA15" s="14">
        <v>0.74300714151860225</v>
      </c>
      <c r="AB15" s="17">
        <v>13.284543877456006</v>
      </c>
      <c r="AC15" s="19">
        <v>46.996660868769368</v>
      </c>
      <c r="AD15" s="19">
        <v>0.67137916047119006</v>
      </c>
      <c r="AE15" s="17">
        <v>0.96645026446851567</v>
      </c>
      <c r="AF15" s="14">
        <v>0</v>
      </c>
      <c r="AG15" s="14">
        <v>0</v>
      </c>
      <c r="AH15" s="14" t="s">
        <v>328</v>
      </c>
      <c r="AI15" s="14">
        <v>0.99979948332884172</v>
      </c>
      <c r="AJ15" s="14">
        <v>1.2779847679664089E-4</v>
      </c>
      <c r="AK15" s="14" t="s">
        <v>331</v>
      </c>
      <c r="AL15" s="14"/>
      <c r="AM15" s="14"/>
      <c r="AN15" s="14" t="s">
        <v>306</v>
      </c>
      <c r="AO15" s="14" t="s">
        <v>310</v>
      </c>
      <c r="AP15" s="14" t="s">
        <v>329</v>
      </c>
      <c r="AQ15" s="14"/>
      <c r="AR15" s="14">
        <f t="shared" si="0"/>
        <v>0</v>
      </c>
      <c r="AS15" s="14">
        <f t="shared" si="1"/>
        <v>0</v>
      </c>
      <c r="AT15" s="14">
        <f t="shared" si="2"/>
        <v>0</v>
      </c>
      <c r="AU15" s="14">
        <f t="shared" si="3"/>
        <v>-4.7475964493060019E-5</v>
      </c>
    </row>
    <row r="16" spans="1:48">
      <c r="A16" s="14" t="s">
        <v>26</v>
      </c>
      <c r="B16" s="14" t="s">
        <v>332</v>
      </c>
      <c r="C16" s="15" t="b">
        <v>1</v>
      </c>
      <c r="D16" s="15" t="b">
        <v>1</v>
      </c>
      <c r="E16" s="16">
        <v>0.2</v>
      </c>
      <c r="F16" s="16">
        <v>3.6</v>
      </c>
      <c r="G16" s="17">
        <v>1.9500000000000002</v>
      </c>
      <c r="H16" s="17">
        <v>1.9499999905151728</v>
      </c>
      <c r="I16" s="17">
        <v>-9.4848273679559725E-9</v>
      </c>
      <c r="J16" s="17">
        <v>9.7500000000000017E-2</v>
      </c>
      <c r="K16" s="17">
        <v>0.66101694915254239</v>
      </c>
      <c r="L16" s="17">
        <v>0.66101694806264555</v>
      </c>
      <c r="M16" s="17">
        <v>0.68053666644369548</v>
      </c>
      <c r="N16" s="18">
        <v>3.883431414703515E-2</v>
      </c>
      <c r="O16" s="17">
        <v>1.6975252406019208</v>
      </c>
      <c r="P16" s="17">
        <v>1.6975249946911364</v>
      </c>
      <c r="Q16" s="14" t="s">
        <v>304</v>
      </c>
      <c r="R16" s="14">
        <v>0.76514242601171667</v>
      </c>
      <c r="S16" s="17">
        <v>0.17030153668638767</v>
      </c>
      <c r="T16" s="17">
        <v>54.999999639589213</v>
      </c>
      <c r="U16" s="17">
        <v>101.32500000000003</v>
      </c>
      <c r="V16" s="17">
        <v>161.49846835555309</v>
      </c>
      <c r="W16" s="17">
        <v>161.39478505387243</v>
      </c>
      <c r="X16" s="17">
        <v>161.39478505387245</v>
      </c>
      <c r="Y16" s="17">
        <v>156.32499999999999</v>
      </c>
      <c r="Z16" s="17">
        <v>156.32499963958921</v>
      </c>
      <c r="AA16" s="14">
        <v>0.99547134298678019</v>
      </c>
      <c r="AB16" s="17">
        <v>9.4301443405588881</v>
      </c>
      <c r="AC16" s="19">
        <v>54.138595786759993</v>
      </c>
      <c r="AD16" s="19">
        <v>1.7743819178458011</v>
      </c>
      <c r="AE16" s="17">
        <v>0.91751783582025759</v>
      </c>
      <c r="AF16" s="14">
        <v>0</v>
      </c>
      <c r="AG16" s="14">
        <v>0</v>
      </c>
      <c r="AH16" s="14" t="s">
        <v>328</v>
      </c>
      <c r="AI16" s="14">
        <v>1.0004694864329926</v>
      </c>
      <c r="AJ16" s="14">
        <v>2.5659351678882229E-4</v>
      </c>
      <c r="AK16" s="14" t="s">
        <v>331</v>
      </c>
      <c r="AL16" s="14"/>
      <c r="AM16" s="14"/>
      <c r="AN16" s="14" t="s">
        <v>306</v>
      </c>
      <c r="AO16" s="14" t="s">
        <v>310</v>
      </c>
      <c r="AP16" s="14" t="s">
        <v>329</v>
      </c>
      <c r="AQ16" s="14"/>
      <c r="AR16" s="14">
        <f t="shared" si="0"/>
        <v>0</v>
      </c>
      <c r="AS16" s="14">
        <f t="shared" si="1"/>
        <v>0</v>
      </c>
      <c r="AT16" s="14">
        <f t="shared" si="2"/>
        <v>0</v>
      </c>
      <c r="AU16" s="14">
        <f t="shared" si="3"/>
        <v>-3.6041078033122176E-4</v>
      </c>
    </row>
    <row r="17" spans="1:47">
      <c r="A17" s="14" t="s">
        <v>26</v>
      </c>
      <c r="B17" s="14" t="s">
        <v>333</v>
      </c>
      <c r="C17" s="15" t="b">
        <v>1</v>
      </c>
      <c r="D17" s="15" t="b">
        <v>1</v>
      </c>
      <c r="E17" s="16">
        <v>0.2</v>
      </c>
      <c r="F17" s="16">
        <v>3.6</v>
      </c>
      <c r="G17" s="17">
        <v>2.6</v>
      </c>
      <c r="H17" s="17">
        <v>2.5999999999997843</v>
      </c>
      <c r="I17" s="17">
        <v>-2.1582735598713043E-13</v>
      </c>
      <c r="J17" s="17">
        <v>0.13</v>
      </c>
      <c r="K17" s="17">
        <v>0.72222222222222221</v>
      </c>
      <c r="L17" s="17">
        <v>0.72222222222220556</v>
      </c>
      <c r="M17" s="17">
        <v>0.74371600755087841</v>
      </c>
      <c r="N17" s="18">
        <v>4.2430084123610066E-2</v>
      </c>
      <c r="O17" s="17">
        <v>1.1159464109519714</v>
      </c>
      <c r="P17" s="17">
        <v>1.1159464109342105</v>
      </c>
      <c r="Q17" s="14" t="s">
        <v>322</v>
      </c>
      <c r="R17" s="14">
        <v>0.75202058800378879</v>
      </c>
      <c r="S17" s="17">
        <v>0.18667709260934748</v>
      </c>
      <c r="T17" s="17">
        <v>54.999999999996703</v>
      </c>
      <c r="U17" s="17">
        <v>101.32500000000002</v>
      </c>
      <c r="V17" s="17">
        <v>161.4972626789976</v>
      </c>
      <c r="W17" s="17">
        <v>161.39357937693481</v>
      </c>
      <c r="X17" s="17">
        <v>161.39357937693487</v>
      </c>
      <c r="Y17" s="17">
        <v>156.32499999999999</v>
      </c>
      <c r="Z17" s="17">
        <v>156.32499999999672</v>
      </c>
      <c r="AA17" s="14">
        <v>1.0028520290330982</v>
      </c>
      <c r="AB17" s="17">
        <v>6.0991325832526408</v>
      </c>
      <c r="AC17" s="19">
        <v>56.899981845590048</v>
      </c>
      <c r="AD17" s="19">
        <v>3.0037329161463759</v>
      </c>
      <c r="AE17" s="17">
        <v>0.86627175509016408</v>
      </c>
      <c r="AF17" s="14">
        <v>0</v>
      </c>
      <c r="AG17" s="14">
        <v>0</v>
      </c>
      <c r="AH17" s="14" t="s">
        <v>305</v>
      </c>
      <c r="AI17" s="14">
        <v>1.000423178893092</v>
      </c>
      <c r="AJ17" s="14">
        <v>2.6028147744653317E-4</v>
      </c>
      <c r="AK17" s="14" t="s">
        <v>331</v>
      </c>
      <c r="AL17" s="14"/>
      <c r="AM17" s="14"/>
      <c r="AN17" s="14" t="s">
        <v>306</v>
      </c>
      <c r="AO17" s="14" t="s">
        <v>310</v>
      </c>
      <c r="AP17" s="14" t="s">
        <v>329</v>
      </c>
      <c r="AQ17" s="14"/>
      <c r="AR17" s="14">
        <f t="shared" si="0"/>
        <v>0</v>
      </c>
      <c r="AS17" s="14">
        <f t="shared" si="1"/>
        <v>0</v>
      </c>
      <c r="AT17" s="14">
        <f t="shared" si="2"/>
        <v>0</v>
      </c>
      <c r="AU17" s="14">
        <f t="shared" si="3"/>
        <v>-3.2684965844964609E-9</v>
      </c>
    </row>
    <row r="18" spans="1:47">
      <c r="A18" s="14" t="s">
        <v>26</v>
      </c>
      <c r="B18" s="14" t="s">
        <v>334</v>
      </c>
      <c r="C18" s="15" t="b">
        <v>1</v>
      </c>
      <c r="D18" s="15" t="b">
        <v>1</v>
      </c>
      <c r="E18" s="16">
        <v>0.4</v>
      </c>
      <c r="F18" s="16">
        <v>2.4</v>
      </c>
      <c r="G18" s="17">
        <v>0</v>
      </c>
      <c r="H18" s="17">
        <v>3.4442306650130921E-7</v>
      </c>
      <c r="I18" s="17">
        <v>3.4442306650130921E-7</v>
      </c>
      <c r="J18" s="17">
        <v>5.0000000000000001E-3</v>
      </c>
      <c r="K18" s="17">
        <v>0</v>
      </c>
      <c r="L18" s="17">
        <v>3.4442294787410143E-7</v>
      </c>
      <c r="M18" s="17">
        <v>3.4759732203785024E-7</v>
      </c>
      <c r="N18" s="18">
        <v>2.697949781981616E-8</v>
      </c>
      <c r="O18" s="17">
        <v>2.3985732140688585</v>
      </c>
      <c r="P18" s="17">
        <v>2.398573214068858</v>
      </c>
      <c r="Q18" s="14" t="s">
        <v>304</v>
      </c>
      <c r="R18" s="14">
        <v>0.75853152848898597</v>
      </c>
      <c r="S18" s="17">
        <v>9.9999999999999982E-8</v>
      </c>
      <c r="T18" s="17">
        <v>70.000000000000014</v>
      </c>
      <c r="U18" s="17">
        <v>101.32500000000003</v>
      </c>
      <c r="V18" s="17">
        <v>178.58282646456558</v>
      </c>
      <c r="W18" s="17">
        <v>178.39850253863955</v>
      </c>
      <c r="X18" s="17">
        <v>178.39850253863958</v>
      </c>
      <c r="Y18" s="17">
        <v>171.32499999999999</v>
      </c>
      <c r="Z18" s="17">
        <v>171.32500000000005</v>
      </c>
      <c r="AA18" s="14">
        <v>8.1371613495529488E-2</v>
      </c>
      <c r="AB18" s="17">
        <v>21.278163671854433</v>
      </c>
      <c r="AC18" s="19">
        <v>19.474729617901517</v>
      </c>
      <c r="AD18" s="19">
        <v>10.202163855682603</v>
      </c>
      <c r="AE18" s="17">
        <v>0.51662473964198319</v>
      </c>
      <c r="AF18" s="14">
        <v>0</v>
      </c>
      <c r="AG18" s="14">
        <v>0</v>
      </c>
      <c r="AH18" s="14" t="s">
        <v>305</v>
      </c>
      <c r="AI18" s="14">
        <v>0.99959113774252673</v>
      </c>
      <c r="AJ18" s="14">
        <v>2.4682427858686579E-5</v>
      </c>
      <c r="AK18" s="14" t="s">
        <v>331</v>
      </c>
      <c r="AL18" s="14"/>
      <c r="AM18" s="14"/>
      <c r="AN18" s="14" t="s">
        <v>306</v>
      </c>
      <c r="AO18" s="14" t="s">
        <v>307</v>
      </c>
      <c r="AP18" s="14" t="s">
        <v>308</v>
      </c>
      <c r="AQ18" s="14"/>
      <c r="AR18" s="14">
        <f t="shared" si="0"/>
        <v>0</v>
      </c>
      <c r="AS18" s="14">
        <f t="shared" si="1"/>
        <v>0</v>
      </c>
      <c r="AT18" s="14">
        <f t="shared" si="2"/>
        <v>0</v>
      </c>
      <c r="AU18" s="14">
        <f t="shared" si="3"/>
        <v>5.6843418860808015E-11</v>
      </c>
    </row>
    <row r="19" spans="1:47">
      <c r="A19" s="14" t="s">
        <v>26</v>
      </c>
      <c r="B19" s="14" t="s">
        <v>335</v>
      </c>
      <c r="C19" s="15" t="b">
        <v>1</v>
      </c>
      <c r="D19" s="15" t="b">
        <v>1</v>
      </c>
      <c r="E19" s="16">
        <v>0.4</v>
      </c>
      <c r="F19" s="16">
        <v>2.4</v>
      </c>
      <c r="G19" s="17">
        <v>0.13999999999999999</v>
      </c>
      <c r="H19" s="17">
        <v>0.13999999907979505</v>
      </c>
      <c r="I19" s="17">
        <v>-9.2020494002476028E-10</v>
      </c>
      <c r="J19" s="17">
        <v>6.9999999999999993E-3</v>
      </c>
      <c r="K19" s="17">
        <v>0.12280701754385964</v>
      </c>
      <c r="L19" s="17">
        <v>0.12280701683579179</v>
      </c>
      <c r="M19" s="17">
        <v>0.12410139667406492</v>
      </c>
      <c r="N19" s="18">
        <v>9.6197761020504549E-3</v>
      </c>
      <c r="O19" s="17">
        <v>2.2604415201794361</v>
      </c>
      <c r="P19" s="17">
        <v>2.2604415122299457</v>
      </c>
      <c r="Q19" s="14" t="s">
        <v>304</v>
      </c>
      <c r="R19" s="14">
        <v>0.75621090716494688</v>
      </c>
      <c r="S19" s="17">
        <v>3.7734910527079953E-2</v>
      </c>
      <c r="T19" s="17">
        <v>69.999999995253489</v>
      </c>
      <c r="U19" s="17">
        <v>101.32500000000003</v>
      </c>
      <c r="V19" s="17">
        <v>178.57256413013556</v>
      </c>
      <c r="W19" s="17">
        <v>178.38824020421208</v>
      </c>
      <c r="X19" s="17">
        <v>178.38824020421208</v>
      </c>
      <c r="Y19" s="17">
        <v>171.32499999999999</v>
      </c>
      <c r="Z19" s="17">
        <v>171.32499999525353</v>
      </c>
      <c r="AA19" s="14">
        <v>0.22300597156692037</v>
      </c>
      <c r="AB19" s="17">
        <v>19.874057190332412</v>
      </c>
      <c r="AC19" s="19">
        <v>25.933280058628213</v>
      </c>
      <c r="AD19" s="19">
        <v>0.74139337910126812</v>
      </c>
      <c r="AE19" s="17">
        <v>0.95694589318631174</v>
      </c>
      <c r="AF19" s="14">
        <v>0</v>
      </c>
      <c r="AG19" s="14">
        <v>0</v>
      </c>
      <c r="AH19" s="14" t="s">
        <v>328</v>
      </c>
      <c r="AI19" s="14">
        <v>0.99982776720881261</v>
      </c>
      <c r="AJ19" s="14">
        <v>1.2651682015827175E-4</v>
      </c>
      <c r="AK19" s="14" t="s">
        <v>331</v>
      </c>
      <c r="AL19" s="14"/>
      <c r="AM19" s="14"/>
      <c r="AN19" s="14" t="s">
        <v>306</v>
      </c>
      <c r="AO19" s="14" t="s">
        <v>310</v>
      </c>
      <c r="AP19" s="14" t="s">
        <v>329</v>
      </c>
      <c r="AQ19" s="14"/>
      <c r="AR19" s="14">
        <f t="shared" si="0"/>
        <v>0</v>
      </c>
      <c r="AS19" s="14">
        <f t="shared" si="1"/>
        <v>0</v>
      </c>
      <c r="AT19" s="14">
        <f t="shared" si="2"/>
        <v>0</v>
      </c>
      <c r="AU19" s="14">
        <f t="shared" si="3"/>
        <v>-4.7464538965868996E-6</v>
      </c>
    </row>
    <row r="20" spans="1:47">
      <c r="A20" s="14" t="s">
        <v>26</v>
      </c>
      <c r="B20" s="14" t="s">
        <v>336</v>
      </c>
      <c r="C20" s="15" t="b">
        <v>1</v>
      </c>
      <c r="D20" s="15" t="b">
        <v>1</v>
      </c>
      <c r="E20" s="16">
        <v>0.4</v>
      </c>
      <c r="F20" s="16">
        <v>2.4</v>
      </c>
      <c r="G20" s="17">
        <v>0.35</v>
      </c>
      <c r="H20" s="17">
        <v>0.3499999999122585</v>
      </c>
      <c r="I20" s="17">
        <v>-8.7741480747638434E-11</v>
      </c>
      <c r="J20" s="17">
        <v>1.7499999999999998E-2</v>
      </c>
      <c r="K20" s="17">
        <v>0.25925925925925924</v>
      </c>
      <c r="L20" s="17">
        <v>0.25925925921111576</v>
      </c>
      <c r="M20" s="17">
        <v>0.26244885785571065</v>
      </c>
      <c r="N20" s="18">
        <v>2.0308416328895618E-2</v>
      </c>
      <c r="O20" s="17">
        <v>2.0531404231748169</v>
      </c>
      <c r="P20" s="17">
        <v>2.053140419866768</v>
      </c>
      <c r="Q20" s="14" t="s">
        <v>304</v>
      </c>
      <c r="R20" s="14">
        <v>0.7528493270095461</v>
      </c>
      <c r="S20" s="17">
        <v>8.0712148577757478E-2</v>
      </c>
      <c r="T20" s="17">
        <v>70.000000002052886</v>
      </c>
      <c r="U20" s="17">
        <v>101.32500000000002</v>
      </c>
      <c r="V20" s="17">
        <v>178.5589426048081</v>
      </c>
      <c r="W20" s="17">
        <v>178.37461867888209</v>
      </c>
      <c r="X20" s="17">
        <v>178.37461867888211</v>
      </c>
      <c r="Y20" s="17">
        <v>171.32499999999999</v>
      </c>
      <c r="Z20" s="17">
        <v>171.32500000205292</v>
      </c>
      <c r="AA20" s="14">
        <v>0.42557026146764165</v>
      </c>
      <c r="AB20" s="17">
        <v>17.8182733148019</v>
      </c>
      <c r="AC20" s="19">
        <v>33.963355549107291</v>
      </c>
      <c r="AD20" s="19">
        <v>-2.5561403231072291</v>
      </c>
      <c r="AE20" s="17">
        <v>1.1515917872988399</v>
      </c>
      <c r="AF20" s="14">
        <v>5.811647397639544E-7</v>
      </c>
      <c r="AG20" s="14">
        <v>3.4869884385837263E-5</v>
      </c>
      <c r="AH20" s="14" t="s">
        <v>331</v>
      </c>
      <c r="AI20" s="14">
        <v>0.99983719637729085</v>
      </c>
      <c r="AJ20" s="14">
        <v>2.6467081002434426E-4</v>
      </c>
      <c r="AK20" s="14" t="s">
        <v>331</v>
      </c>
      <c r="AL20" s="14"/>
      <c r="AM20" s="14"/>
      <c r="AN20" s="14" t="s">
        <v>306</v>
      </c>
      <c r="AO20" s="14" t="s">
        <v>310</v>
      </c>
      <c r="AP20" s="14" t="s">
        <v>337</v>
      </c>
      <c r="AQ20" s="14"/>
      <c r="AR20" s="14">
        <f t="shared" si="0"/>
        <v>15.159178729883994</v>
      </c>
      <c r="AS20" s="14">
        <f t="shared" si="1"/>
        <v>0.58116473976395444</v>
      </c>
      <c r="AT20" s="14">
        <f t="shared" si="2"/>
        <v>34.86988438583726</v>
      </c>
      <c r="AU20" s="14">
        <f t="shared" si="3"/>
        <v>2.0529284938675119E-6</v>
      </c>
    </row>
    <row r="21" spans="1:47">
      <c r="A21" s="14" t="s">
        <v>26</v>
      </c>
      <c r="B21" s="14" t="s">
        <v>338</v>
      </c>
      <c r="C21" s="15" t="b">
        <v>1</v>
      </c>
      <c r="D21" s="15" t="b">
        <v>1</v>
      </c>
      <c r="E21" s="16">
        <v>0.4</v>
      </c>
      <c r="F21" s="16">
        <v>2.4</v>
      </c>
      <c r="G21" s="17">
        <v>0.7</v>
      </c>
      <c r="H21" s="17">
        <v>0.70000000000000018</v>
      </c>
      <c r="I21" s="17">
        <v>2.2204460492503131E-16</v>
      </c>
      <c r="J21" s="17">
        <v>3.4999999999999996E-2</v>
      </c>
      <c r="K21" s="17">
        <v>0.41176470588235292</v>
      </c>
      <c r="L21" s="17">
        <v>0.41176470588235309</v>
      </c>
      <c r="M21" s="17">
        <v>0.41791381434073616</v>
      </c>
      <c r="N21" s="18">
        <v>3.2254543587179878E-2</v>
      </c>
      <c r="O21" s="17">
        <v>1.7060139036607136</v>
      </c>
      <c r="P21" s="17">
        <v>1.7060139036607114</v>
      </c>
      <c r="Q21" s="14" t="s">
        <v>304</v>
      </c>
      <c r="R21" s="14">
        <v>0.74716813212519417</v>
      </c>
      <c r="S21" s="17">
        <v>0.13060503596693396</v>
      </c>
      <c r="T21" s="17">
        <v>70.000000000000014</v>
      </c>
      <c r="U21" s="17">
        <v>101.32500000000002</v>
      </c>
      <c r="V21" s="17">
        <v>178.53871392825329</v>
      </c>
      <c r="W21" s="17">
        <v>178.35439000232719</v>
      </c>
      <c r="X21" s="17">
        <v>178.35439000232728</v>
      </c>
      <c r="Y21" s="17">
        <v>171.32499999999999</v>
      </c>
      <c r="Z21" s="17">
        <v>171.32500000000005</v>
      </c>
      <c r="AA21" s="14">
        <v>0.74152469391943521</v>
      </c>
      <c r="AB21" s="17">
        <v>14.500627094294968</v>
      </c>
      <c r="AC21" s="19">
        <v>44.296945797450292</v>
      </c>
      <c r="AD21" s="19">
        <v>-2.7730162794094895</v>
      </c>
      <c r="AE21" s="17">
        <v>1.1525077096754235</v>
      </c>
      <c r="AF21" s="14">
        <v>9.9853202356156682E-7</v>
      </c>
      <c r="AG21" s="14">
        <v>5.9911921413694011E-5</v>
      </c>
      <c r="AH21" s="14" t="s">
        <v>331</v>
      </c>
      <c r="AI21" s="14">
        <v>1.0001958821079187</v>
      </c>
      <c r="AJ21" s="14">
        <v>4.6509896268156668E-4</v>
      </c>
      <c r="AK21" s="14" t="s">
        <v>331</v>
      </c>
      <c r="AL21" s="14"/>
      <c r="AM21" s="14"/>
      <c r="AN21" s="14" t="s">
        <v>306</v>
      </c>
      <c r="AO21" s="14" t="s">
        <v>310</v>
      </c>
      <c r="AP21" s="14" t="s">
        <v>337</v>
      </c>
      <c r="AQ21" s="14"/>
      <c r="AR21" s="14">
        <f t="shared" si="0"/>
        <v>15.250770967542348</v>
      </c>
      <c r="AS21" s="14">
        <f t="shared" si="1"/>
        <v>0.99853202356156678</v>
      </c>
      <c r="AT21" s="14">
        <f t="shared" si="2"/>
        <v>59.91192141369401</v>
      </c>
      <c r="AU21" s="14">
        <f t="shared" si="3"/>
        <v>5.6843418860808015E-11</v>
      </c>
    </row>
    <row r="22" spans="1:47">
      <c r="A22" s="14" t="s">
        <v>26</v>
      </c>
      <c r="B22" s="14" t="s">
        <v>339</v>
      </c>
      <c r="C22" s="15" t="b">
        <v>1</v>
      </c>
      <c r="D22" s="15" t="b">
        <v>1</v>
      </c>
      <c r="E22" s="16">
        <v>0.4</v>
      </c>
      <c r="F22" s="16">
        <v>2.4</v>
      </c>
      <c r="G22" s="17">
        <v>1.0499999999999998</v>
      </c>
      <c r="H22" s="17">
        <v>1.0500000073117579</v>
      </c>
      <c r="I22" s="17">
        <v>7.3117580878800936E-9</v>
      </c>
      <c r="J22" s="17">
        <v>5.2499999999999991E-2</v>
      </c>
      <c r="K22" s="17">
        <v>0.51219512195121952</v>
      </c>
      <c r="L22" s="17">
        <v>0.51219512369107856</v>
      </c>
      <c r="M22" s="17">
        <v>0.5208664327898459</v>
      </c>
      <c r="N22" s="18">
        <v>4.0121505619044824E-2</v>
      </c>
      <c r="O22" s="17">
        <v>1.3658630525679212</v>
      </c>
      <c r="P22" s="17">
        <v>1.3658628687500187</v>
      </c>
      <c r="Q22" s="14" t="s">
        <v>304</v>
      </c>
      <c r="R22" s="14">
        <v>0.74040250913498573</v>
      </c>
      <c r="S22" s="17">
        <v>0.16481789360152854</v>
      </c>
      <c r="T22" s="17">
        <v>70.000000288082731</v>
      </c>
      <c r="U22" s="17">
        <v>101.32500000000002</v>
      </c>
      <c r="V22" s="17">
        <v>178.52344513560993</v>
      </c>
      <c r="W22" s="17">
        <v>178.33912120926877</v>
      </c>
      <c r="X22" s="17">
        <v>178.33912120926877</v>
      </c>
      <c r="Y22" s="17">
        <v>171.32499999999999</v>
      </c>
      <c r="Z22" s="17">
        <v>171.32500028808275</v>
      </c>
      <c r="AA22" s="14">
        <v>0.99371483611486133</v>
      </c>
      <c r="AB22" s="17">
        <v>11.369876292009121</v>
      </c>
      <c r="AC22" s="19">
        <v>51.808254425531743</v>
      </c>
      <c r="AD22" s="19">
        <v>-1.5698332043881891</v>
      </c>
      <c r="AE22" s="17">
        <v>1.0795152193605979</v>
      </c>
      <c r="AF22" s="14">
        <v>7.6046427153743971E-7</v>
      </c>
      <c r="AG22" s="14">
        <v>4.5627856292246381E-5</v>
      </c>
      <c r="AH22" s="14" t="s">
        <v>331</v>
      </c>
      <c r="AI22" s="14">
        <v>1.0003479016938714</v>
      </c>
      <c r="AJ22" s="14">
        <v>6.1617288790148206E-4</v>
      </c>
      <c r="AK22" s="14" t="s">
        <v>331</v>
      </c>
      <c r="AL22" s="14"/>
      <c r="AM22" s="14"/>
      <c r="AN22" s="14" t="s">
        <v>306</v>
      </c>
      <c r="AO22" s="14" t="s">
        <v>310</v>
      </c>
      <c r="AP22" s="14" t="s">
        <v>337</v>
      </c>
      <c r="AQ22" s="14"/>
      <c r="AR22" s="14">
        <f t="shared" si="0"/>
        <v>7.9515219360597911</v>
      </c>
      <c r="AS22" s="14">
        <f t="shared" si="1"/>
        <v>0.76046427153743967</v>
      </c>
      <c r="AT22" s="14">
        <f t="shared" si="2"/>
        <v>45.627856292246378</v>
      </c>
      <c r="AU22" s="14">
        <f t="shared" si="3"/>
        <v>2.8808275942537875E-4</v>
      </c>
    </row>
    <row r="23" spans="1:47">
      <c r="A23" s="14" t="s">
        <v>26</v>
      </c>
      <c r="B23" s="14" t="s">
        <v>340</v>
      </c>
      <c r="C23" s="15" t="b">
        <v>1</v>
      </c>
      <c r="D23" s="15" t="b">
        <v>1</v>
      </c>
      <c r="E23" s="16">
        <v>0.4</v>
      </c>
      <c r="F23" s="16">
        <v>2.4</v>
      </c>
      <c r="G23" s="17">
        <v>1.4</v>
      </c>
      <c r="H23" s="17">
        <v>1.4000000001588913</v>
      </c>
      <c r="I23" s="17">
        <v>1.5889134452606868E-10</v>
      </c>
      <c r="J23" s="17">
        <v>6.9999999999999993E-2</v>
      </c>
      <c r="K23" s="17">
        <v>0.58333333333333337</v>
      </c>
      <c r="L23" s="17">
        <v>0.58333333336091864</v>
      </c>
      <c r="M23" s="17">
        <v>0.59333883853793079</v>
      </c>
      <c r="N23" s="18">
        <v>4.5693936751125076E-2</v>
      </c>
      <c r="O23" s="17">
        <v>1.0799112991959312</v>
      </c>
      <c r="P23" s="17">
        <v>1.0799112990860977</v>
      </c>
      <c r="Q23" s="14" t="s">
        <v>322</v>
      </c>
      <c r="R23" s="14">
        <v>0.72910969968393113</v>
      </c>
      <c r="S23" s="17">
        <v>0.18830513527353973</v>
      </c>
      <c r="T23" s="17">
        <v>69.999999999146382</v>
      </c>
      <c r="U23" s="17">
        <v>101.32500000000002</v>
      </c>
      <c r="V23" s="17">
        <v>178.52174636180345</v>
      </c>
      <c r="W23" s="17">
        <v>178.33742243587372</v>
      </c>
      <c r="X23" s="17">
        <v>178.33742243587375</v>
      </c>
      <c r="Y23" s="17">
        <v>171.32499999999999</v>
      </c>
      <c r="Z23" s="17">
        <v>171.3249999991464</v>
      </c>
      <c r="AA23" s="14">
        <v>1.0093036231512542</v>
      </c>
      <c r="AB23" s="17">
        <v>8.7983153432437984</v>
      </c>
      <c r="AC23" s="19">
        <v>55.629632063632414</v>
      </c>
      <c r="AD23" s="19">
        <v>-3.6351027674314196E-2</v>
      </c>
      <c r="AE23" s="17">
        <v>1.0017357586063131</v>
      </c>
      <c r="AF23" s="14">
        <v>2.8969989771338285E-9</v>
      </c>
      <c r="AG23" s="14">
        <v>1.7381993862802971E-7</v>
      </c>
      <c r="AH23" s="14" t="s">
        <v>331</v>
      </c>
      <c r="AI23" s="14">
        <v>1.000418318068929</v>
      </c>
      <c r="AJ23" s="14">
        <v>6.2517406951761642E-4</v>
      </c>
      <c r="AK23" s="14" t="s">
        <v>331</v>
      </c>
      <c r="AL23" s="14"/>
      <c r="AM23" s="14"/>
      <c r="AN23" s="14" t="s">
        <v>306</v>
      </c>
      <c r="AO23" s="14" t="s">
        <v>310</v>
      </c>
      <c r="AP23" s="14" t="s">
        <v>337</v>
      </c>
      <c r="AQ23" s="14"/>
      <c r="AR23" s="14">
        <f t="shared" si="0"/>
        <v>0.17357586063131425</v>
      </c>
      <c r="AS23" s="14">
        <f t="shared" si="1"/>
        <v>2.8969989771338283E-3</v>
      </c>
      <c r="AT23" s="14">
        <f t="shared" si="2"/>
        <v>0.17381993862802972</v>
      </c>
      <c r="AU23" s="14">
        <f t="shared" si="3"/>
        <v>-8.5358919932332356E-7</v>
      </c>
    </row>
    <row r="24" spans="1:47">
      <c r="A24" s="14" t="s">
        <v>26</v>
      </c>
      <c r="B24" s="14" t="s">
        <v>341</v>
      </c>
      <c r="C24" s="15" t="b">
        <v>1</v>
      </c>
      <c r="D24" s="15" t="b">
        <v>1</v>
      </c>
      <c r="E24" s="16">
        <v>1</v>
      </c>
      <c r="F24" s="16">
        <v>1.8</v>
      </c>
      <c r="G24" s="17">
        <v>0</v>
      </c>
      <c r="H24" s="17">
        <v>2.4482539665872712E-7</v>
      </c>
      <c r="I24" s="17">
        <v>2.4482539665872712E-7</v>
      </c>
      <c r="J24" s="17">
        <v>5.0000000000000001E-3</v>
      </c>
      <c r="K24" s="17">
        <v>0</v>
      </c>
      <c r="L24" s="17">
        <v>2.44825336719267E-7</v>
      </c>
      <c r="M24" s="17">
        <v>2.4363399243012227E-7</v>
      </c>
      <c r="N24" s="18">
        <v>3.5958321805119365E-8</v>
      </c>
      <c r="O24" s="17">
        <v>1.7989313816065564</v>
      </c>
      <c r="P24" s="17">
        <v>1.798931381606556</v>
      </c>
      <c r="Q24" s="14" t="s">
        <v>304</v>
      </c>
      <c r="R24" s="14">
        <v>0.70907324457903043</v>
      </c>
      <c r="S24" s="17">
        <v>9.9999999999999969E-8</v>
      </c>
      <c r="T24" s="17">
        <v>130</v>
      </c>
      <c r="U24" s="17">
        <v>101.32500000000002</v>
      </c>
      <c r="V24" s="17">
        <v>247.20534373068332</v>
      </c>
      <c r="W24" s="17">
        <v>246.55733621760734</v>
      </c>
      <c r="X24" s="17">
        <v>246.5573362176074</v>
      </c>
      <c r="Y24" s="17">
        <v>231.32499999999999</v>
      </c>
      <c r="Z24" s="17">
        <v>231.32500000000005</v>
      </c>
      <c r="AA24" s="14">
        <v>7.2353508623041962E-2</v>
      </c>
      <c r="AB24" s="17">
        <v>21.278183166841629</v>
      </c>
      <c r="AC24" s="19">
        <v>18.172544916363051</v>
      </c>
      <c r="AD24" s="19">
        <v>8.900244452142978</v>
      </c>
      <c r="AE24" s="17">
        <v>0.56042276370843935</v>
      </c>
      <c r="AF24" s="14">
        <v>0</v>
      </c>
      <c r="AG24" s="14">
        <v>0</v>
      </c>
      <c r="AH24" s="14" t="s">
        <v>305</v>
      </c>
      <c r="AI24" s="14">
        <v>1.0000398960520671</v>
      </c>
      <c r="AJ24" s="14">
        <v>4.7391020092672791E-4</v>
      </c>
      <c r="AK24" s="14" t="s">
        <v>331</v>
      </c>
      <c r="AL24" s="14"/>
      <c r="AM24" s="14"/>
      <c r="AN24" s="14" t="s">
        <v>306</v>
      </c>
      <c r="AO24" s="14" t="s">
        <v>307</v>
      </c>
      <c r="AP24" s="14" t="s">
        <v>308</v>
      </c>
      <c r="AQ24" s="14"/>
      <c r="AR24" s="14">
        <f t="shared" si="0"/>
        <v>0</v>
      </c>
      <c r="AS24" s="14">
        <f t="shared" si="1"/>
        <v>0</v>
      </c>
      <c r="AT24" s="14">
        <f t="shared" si="2"/>
        <v>0</v>
      </c>
      <c r="AU24" s="14">
        <f t="shared" si="3"/>
        <v>5.6843418860808015E-11</v>
      </c>
    </row>
    <row r="25" spans="1:47">
      <c r="A25" s="14" t="s">
        <v>26</v>
      </c>
      <c r="B25" s="14" t="s">
        <v>342</v>
      </c>
      <c r="C25" s="15" t="b">
        <v>1</v>
      </c>
      <c r="D25" s="15" t="b">
        <v>1</v>
      </c>
      <c r="E25" s="16">
        <v>1</v>
      </c>
      <c r="F25" s="16">
        <v>1.8</v>
      </c>
      <c r="G25" s="17">
        <v>8.0000000000000016E-2</v>
      </c>
      <c r="H25" s="17">
        <v>7.9999999999999724E-2</v>
      </c>
      <c r="I25" s="17">
        <v>-2.9143354396410359E-16</v>
      </c>
      <c r="J25" s="17">
        <v>5.0000000000000001E-3</v>
      </c>
      <c r="K25" s="17">
        <v>7.4074074074074084E-2</v>
      </c>
      <c r="L25" s="17">
        <v>7.407407407407382E-2</v>
      </c>
      <c r="M25" s="17">
        <v>7.3781340862143274E-2</v>
      </c>
      <c r="N25" s="18">
        <v>1.0879508749643966E-2</v>
      </c>
      <c r="O25" s="17">
        <v>1.7187092266146722</v>
      </c>
      <c r="P25" s="17">
        <v>1.7187092266146717</v>
      </c>
      <c r="Q25" s="14" t="s">
        <v>304</v>
      </c>
      <c r="R25" s="14">
        <v>0.70734273979497109</v>
      </c>
      <c r="S25" s="17">
        <v>3.2740356274327434E-2</v>
      </c>
      <c r="T25" s="17">
        <v>130</v>
      </c>
      <c r="U25" s="17">
        <v>101.32500000000003</v>
      </c>
      <c r="V25" s="17">
        <v>247.18711155177772</v>
      </c>
      <c r="W25" s="17">
        <v>246.53910403870179</v>
      </c>
      <c r="X25" s="17">
        <v>246.53910403870185</v>
      </c>
      <c r="Y25" s="17">
        <v>231.32499999999999</v>
      </c>
      <c r="Z25" s="17">
        <v>231.32500000000002</v>
      </c>
      <c r="AA25" s="14">
        <v>0.17931236411958221</v>
      </c>
      <c r="AB25" s="17">
        <v>20.178047578044403</v>
      </c>
      <c r="AC25" s="19">
        <v>23.384062086144922</v>
      </c>
      <c r="AD25" s="19">
        <v>-0.12901051760027116</v>
      </c>
      <c r="AE25" s="17">
        <v>1.0078124396501689</v>
      </c>
      <c r="AF25" s="14">
        <v>1.7570323173091628E-8</v>
      </c>
      <c r="AG25" s="14">
        <v>1.0542193903854976E-6</v>
      </c>
      <c r="AH25" s="14" t="s">
        <v>331</v>
      </c>
      <c r="AI25" s="14">
        <v>1.0002671582271376</v>
      </c>
      <c r="AJ25" s="14">
        <v>6.0969687264164618E-4</v>
      </c>
      <c r="AK25" s="14" t="s">
        <v>331</v>
      </c>
      <c r="AL25" s="14"/>
      <c r="AM25" s="14"/>
      <c r="AN25" s="14" t="s">
        <v>306</v>
      </c>
      <c r="AO25" s="14" t="s">
        <v>310</v>
      </c>
      <c r="AP25" s="14" t="s">
        <v>337</v>
      </c>
      <c r="AQ25" s="14"/>
      <c r="AR25" s="14">
        <f t="shared" si="0"/>
        <v>0.78124396501688675</v>
      </c>
      <c r="AS25" s="14">
        <f t="shared" si="1"/>
        <v>1.7570323173091627E-2</v>
      </c>
      <c r="AT25" s="14">
        <f t="shared" si="2"/>
        <v>1.0542193903854977</v>
      </c>
      <c r="AU25" s="14">
        <f t="shared" si="3"/>
        <v>2.8421709430404007E-11</v>
      </c>
    </row>
    <row r="26" spans="1:47">
      <c r="A26" s="14" t="s">
        <v>26</v>
      </c>
      <c r="B26" s="14" t="s">
        <v>343</v>
      </c>
      <c r="C26" s="15" t="b">
        <v>1</v>
      </c>
      <c r="D26" s="15" t="b">
        <v>1</v>
      </c>
      <c r="E26" s="16">
        <v>1</v>
      </c>
      <c r="F26" s="16">
        <v>1.8</v>
      </c>
      <c r="G26" s="17">
        <v>0.2</v>
      </c>
      <c r="H26" s="17">
        <v>0.19999999999999871</v>
      </c>
      <c r="I26" s="17">
        <v>-1.3045120539345589E-15</v>
      </c>
      <c r="J26" s="17">
        <v>1.0000000000000002E-2</v>
      </c>
      <c r="K26" s="17">
        <v>0.16666666666666669</v>
      </c>
      <c r="L26" s="17">
        <v>0.16666666666666574</v>
      </c>
      <c r="M26" s="17">
        <v>0.16622346049132164</v>
      </c>
      <c r="N26" s="18">
        <v>2.4478894686698876E-2</v>
      </c>
      <c r="O26" s="17">
        <v>1.5986295178570344</v>
      </c>
      <c r="P26" s="17">
        <v>1.5986295178570329</v>
      </c>
      <c r="Q26" s="14" t="s">
        <v>304</v>
      </c>
      <c r="R26" s="14">
        <v>0.704687900679561</v>
      </c>
      <c r="S26" s="17">
        <v>7.4431857558251671E-2</v>
      </c>
      <c r="T26" s="17">
        <v>130</v>
      </c>
      <c r="U26" s="17">
        <v>101.32500000000002</v>
      </c>
      <c r="V26" s="17">
        <v>247.16140655826339</v>
      </c>
      <c r="W26" s="17">
        <v>246.5133990451875</v>
      </c>
      <c r="X26" s="17">
        <v>246.51339904518758</v>
      </c>
      <c r="Y26" s="17">
        <v>231.32499999999999</v>
      </c>
      <c r="Z26" s="17">
        <v>231.32500000000002</v>
      </c>
      <c r="AA26" s="14">
        <v>0.33445509050204258</v>
      </c>
      <c r="AB26" s="17">
        <v>18.563660453316242</v>
      </c>
      <c r="AC26" s="19">
        <v>30.269564886183844</v>
      </c>
      <c r="AD26" s="19">
        <v>-4.0130469280393584</v>
      </c>
      <c r="AE26" s="17">
        <v>1.2542202722050673</v>
      </c>
      <c r="AF26" s="14">
        <v>7.9481710314514089E-7</v>
      </c>
      <c r="AG26" s="14">
        <v>4.7689026188708452E-5</v>
      </c>
      <c r="AH26" s="14" t="s">
        <v>331</v>
      </c>
      <c r="AI26" s="14">
        <v>1.0006396209046404</v>
      </c>
      <c r="AJ26" s="14">
        <v>8.0134530752358686E-4</v>
      </c>
      <c r="AK26" s="14" t="s">
        <v>331</v>
      </c>
      <c r="AL26" s="14"/>
      <c r="AM26" s="14"/>
      <c r="AN26" s="14" t="s">
        <v>306</v>
      </c>
      <c r="AO26" s="14" t="s">
        <v>310</v>
      </c>
      <c r="AP26" s="14" t="s">
        <v>337</v>
      </c>
      <c r="AQ26" s="14"/>
      <c r="AR26" s="14">
        <f t="shared" si="0"/>
        <v>25.422027220506727</v>
      </c>
      <c r="AS26" s="14">
        <f t="shared" si="1"/>
        <v>0.79481710314514087</v>
      </c>
      <c r="AT26" s="14">
        <f t="shared" si="2"/>
        <v>47.689026188708453</v>
      </c>
      <c r="AU26" s="14">
        <f t="shared" si="3"/>
        <v>2.8421709430404007E-11</v>
      </c>
    </row>
    <row r="27" spans="1:47">
      <c r="A27" s="14" t="s">
        <v>26</v>
      </c>
      <c r="B27" s="14" t="s">
        <v>344</v>
      </c>
      <c r="C27" s="15" t="b">
        <v>1</v>
      </c>
      <c r="D27" s="15" t="b">
        <v>1</v>
      </c>
      <c r="E27" s="16">
        <v>1</v>
      </c>
      <c r="F27" s="16">
        <v>1.8</v>
      </c>
      <c r="G27" s="17">
        <v>0.4</v>
      </c>
      <c r="H27" s="17">
        <v>0.399999999768968</v>
      </c>
      <c r="I27" s="17">
        <v>-2.3103202684282564E-10</v>
      </c>
      <c r="J27" s="17">
        <v>2.0000000000000004E-2</v>
      </c>
      <c r="K27" s="17">
        <v>0.28571428571428575</v>
      </c>
      <c r="L27" s="17">
        <v>0.28571428559641227</v>
      </c>
      <c r="M27" s="17">
        <v>0.28551688083741328</v>
      </c>
      <c r="N27" s="18">
        <v>4.1963819441617096E-2</v>
      </c>
      <c r="O27" s="17">
        <v>1.3988513712944404</v>
      </c>
      <c r="P27" s="17">
        <v>1.3988512896726617</v>
      </c>
      <c r="Q27" s="14" t="s">
        <v>304</v>
      </c>
      <c r="R27" s="14">
        <v>0.69963656050131384</v>
      </c>
      <c r="S27" s="17">
        <v>0.12956982144827442</v>
      </c>
      <c r="T27" s="17">
        <v>129.9999996196174</v>
      </c>
      <c r="U27" s="17">
        <v>101.32500000000002</v>
      </c>
      <c r="V27" s="17">
        <v>247.12243289858796</v>
      </c>
      <c r="W27" s="17">
        <v>246.47442538572051</v>
      </c>
      <c r="X27" s="17">
        <v>246.47442538572054</v>
      </c>
      <c r="Y27" s="17">
        <v>231.32499999999999</v>
      </c>
      <c r="Z27" s="17">
        <v>231.32499961961742</v>
      </c>
      <c r="AA27" s="14">
        <v>0.58066001453616756</v>
      </c>
      <c r="AB27" s="17">
        <v>15.958292165448514</v>
      </c>
      <c r="AC27" s="19">
        <v>39.813019160064243</v>
      </c>
      <c r="AD27" s="19">
        <v>-4.7761609743256628</v>
      </c>
      <c r="AE27" s="17">
        <v>1.2849026980062848</v>
      </c>
      <c r="AF27" s="14">
        <v>1.4805920089234483E-6</v>
      </c>
      <c r="AG27" s="14">
        <v>8.8835520535406905E-5</v>
      </c>
      <c r="AH27" s="14" t="s">
        <v>331</v>
      </c>
      <c r="AI27" s="14">
        <v>1.0006426501992116</v>
      </c>
      <c r="AJ27" s="14">
        <v>1.0968339679327472E-3</v>
      </c>
      <c r="AK27" s="14" t="s">
        <v>331</v>
      </c>
      <c r="AL27" s="14"/>
      <c r="AM27" s="14"/>
      <c r="AN27" s="14" t="s">
        <v>306</v>
      </c>
      <c r="AO27" s="14" t="s">
        <v>310</v>
      </c>
      <c r="AP27" s="14" t="s">
        <v>337</v>
      </c>
      <c r="AQ27" s="14"/>
      <c r="AR27" s="14">
        <f t="shared" si="0"/>
        <v>28.490269800628475</v>
      </c>
      <c r="AS27" s="14">
        <f t="shared" si="1"/>
        <v>1.4805920089234483</v>
      </c>
      <c r="AT27" s="14">
        <f t="shared" si="2"/>
        <v>88.8355205354069</v>
      </c>
      <c r="AU27" s="14">
        <f t="shared" si="3"/>
        <v>-3.803825734394195E-4</v>
      </c>
    </row>
    <row r="28" spans="1:47">
      <c r="A28" s="14" t="s">
        <v>26</v>
      </c>
      <c r="B28" s="14" t="s">
        <v>345</v>
      </c>
      <c r="C28" s="15" t="b">
        <v>1</v>
      </c>
      <c r="D28" s="15" t="b">
        <v>1</v>
      </c>
      <c r="E28" s="16">
        <v>1</v>
      </c>
      <c r="F28" s="16">
        <v>1.8</v>
      </c>
      <c r="G28" s="17">
        <v>0.60000000000000009</v>
      </c>
      <c r="H28" s="17">
        <v>0.59999999999997611</v>
      </c>
      <c r="I28" s="17">
        <v>-2.3980817331903381E-14</v>
      </c>
      <c r="J28" s="17">
        <v>3.0000000000000006E-2</v>
      </c>
      <c r="K28" s="17">
        <v>0.37500000000000006</v>
      </c>
      <c r="L28" s="17">
        <v>0.37499999999999062</v>
      </c>
      <c r="M28" s="17">
        <v>0.37541935019606432</v>
      </c>
      <c r="N28" s="18">
        <v>5.5077513045071393E-2</v>
      </c>
      <c r="O28" s="17">
        <v>1.1991004735211255</v>
      </c>
      <c r="P28" s="17">
        <v>1.1991004735211026</v>
      </c>
      <c r="Q28" s="14" t="s">
        <v>322</v>
      </c>
      <c r="R28" s="14">
        <v>0.69266015873664455</v>
      </c>
      <c r="S28" s="17">
        <v>0.1723988746673579</v>
      </c>
      <c r="T28" s="17">
        <v>129.99999999999989</v>
      </c>
      <c r="U28" s="17">
        <v>101.32500000000003</v>
      </c>
      <c r="V28" s="17">
        <v>247.08678896110078</v>
      </c>
      <c r="W28" s="17">
        <v>246.43878144802483</v>
      </c>
      <c r="X28" s="17">
        <v>246.43878144802494</v>
      </c>
      <c r="Y28" s="17">
        <v>231.32499999999999</v>
      </c>
      <c r="Z28" s="17">
        <v>231.32499999999996</v>
      </c>
      <c r="AA28" s="14">
        <v>0.81337171512082629</v>
      </c>
      <c r="AB28" s="17">
        <v>13.447199436889816</v>
      </c>
      <c r="AC28" s="19">
        <v>47.590027243690713</v>
      </c>
      <c r="AD28" s="19">
        <v>-3.6969015228671793</v>
      </c>
      <c r="AE28" s="17">
        <v>1.2023074219506189</v>
      </c>
      <c r="AF28" s="14">
        <v>1.5650342151736155E-6</v>
      </c>
      <c r="AG28" s="14">
        <v>9.390205291041693E-5</v>
      </c>
      <c r="AH28" s="14" t="s">
        <v>331</v>
      </c>
      <c r="AI28" s="14">
        <v>1.0007200029196939</v>
      </c>
      <c r="AJ28" s="14">
        <v>1.3672197166074984E-3</v>
      </c>
      <c r="AK28" s="14" t="s">
        <v>331</v>
      </c>
      <c r="AL28" s="14"/>
      <c r="AM28" s="14"/>
      <c r="AN28" s="14" t="s">
        <v>306</v>
      </c>
      <c r="AO28" s="14" t="s">
        <v>310</v>
      </c>
      <c r="AP28" s="14" t="s">
        <v>337</v>
      </c>
      <c r="AQ28" s="14"/>
      <c r="AR28" s="14">
        <f t="shared" si="0"/>
        <v>20.23074219506189</v>
      </c>
      <c r="AS28" s="14">
        <f t="shared" si="1"/>
        <v>1.5650342151736154</v>
      </c>
      <c r="AT28" s="14">
        <f t="shared" si="2"/>
        <v>93.902052910416927</v>
      </c>
      <c r="AU28" s="14">
        <f t="shared" si="3"/>
        <v>-2.8421709430404007E-11</v>
      </c>
    </row>
    <row r="29" spans="1:47">
      <c r="A29" s="14" t="s">
        <v>26</v>
      </c>
      <c r="B29" s="14" t="s">
        <v>346</v>
      </c>
      <c r="C29" s="15" t="b">
        <v>1</v>
      </c>
      <c r="D29" s="15" t="b">
        <v>1</v>
      </c>
      <c r="E29" s="16">
        <v>1</v>
      </c>
      <c r="F29" s="16">
        <v>1.8</v>
      </c>
      <c r="G29" s="17">
        <v>0.8</v>
      </c>
      <c r="H29" s="17">
        <v>0.79999999773742325</v>
      </c>
      <c r="I29" s="17">
        <v>-2.2625767925887885E-9</v>
      </c>
      <c r="J29" s="17">
        <v>4.0000000000000008E-2</v>
      </c>
      <c r="K29" s="17">
        <v>0.44444444444444448</v>
      </c>
      <c r="L29" s="17">
        <v>0.44444444374611847</v>
      </c>
      <c r="M29" s="17">
        <v>0.44553180512914542</v>
      </c>
      <c r="N29" s="18">
        <v>6.5277052446630429E-2</v>
      </c>
      <c r="O29" s="17">
        <v>1.0095827203020187</v>
      </c>
      <c r="P29" s="17">
        <v>1.0095825839548933</v>
      </c>
      <c r="Q29" s="14" t="s">
        <v>322</v>
      </c>
      <c r="R29" s="14">
        <v>0.66843659376855491</v>
      </c>
      <c r="S29" s="17">
        <v>0.20642246361714955</v>
      </c>
      <c r="T29" s="17">
        <v>130.00000023864698</v>
      </c>
      <c r="U29" s="17">
        <v>101.32500000000002</v>
      </c>
      <c r="V29" s="17">
        <v>247.06072652416947</v>
      </c>
      <c r="W29" s="17">
        <v>246.41271901007508</v>
      </c>
      <c r="X29" s="17">
        <v>246.41271901007514</v>
      </c>
      <c r="Y29" s="17">
        <v>231.32499999999999</v>
      </c>
      <c r="Z29" s="17">
        <v>231.32500023864699</v>
      </c>
      <c r="AA29" s="14">
        <v>0.98512597354067377</v>
      </c>
      <c r="AB29" s="17">
        <v>11.116227700270526</v>
      </c>
      <c r="AC29" s="19">
        <v>53.637635574174567</v>
      </c>
      <c r="AD29" s="19">
        <v>-2.1426241788362717</v>
      </c>
      <c r="AE29" s="17">
        <v>1.1083740585650734</v>
      </c>
      <c r="AF29" s="14">
        <v>1.1278732670877337E-6</v>
      </c>
      <c r="AG29" s="14">
        <v>6.7672396025264027E-5</v>
      </c>
      <c r="AH29" s="14" t="s">
        <v>331</v>
      </c>
      <c r="AI29" s="14">
        <v>1.0008382428009404</v>
      </c>
      <c r="AJ29" s="14">
        <v>1.5626002862806972E-3</v>
      </c>
      <c r="AK29" s="14" t="s">
        <v>331</v>
      </c>
      <c r="AL29" s="14"/>
      <c r="AM29" s="14"/>
      <c r="AN29" s="14" t="s">
        <v>306</v>
      </c>
      <c r="AO29" s="14" t="s">
        <v>310</v>
      </c>
      <c r="AP29" s="14" t="s">
        <v>337</v>
      </c>
      <c r="AQ29" s="14"/>
      <c r="AR29" s="14">
        <f t="shared" si="0"/>
        <v>10.837405856507342</v>
      </c>
      <c r="AS29" s="14">
        <f t="shared" si="1"/>
        <v>1.1278732670877336</v>
      </c>
      <c r="AT29" s="14">
        <f t="shared" si="2"/>
        <v>67.672396025264021</v>
      </c>
      <c r="AU29" s="14">
        <f t="shared" si="3"/>
        <v>2.3864700438025466E-4</v>
      </c>
    </row>
    <row r="30" spans="1:47">
      <c r="A30" s="14" t="s">
        <v>49</v>
      </c>
      <c r="B30" s="14" t="s">
        <v>347</v>
      </c>
      <c r="C30" s="15" t="b">
        <v>1</v>
      </c>
      <c r="D30" s="15" t="b">
        <v>1</v>
      </c>
      <c r="E30" s="16">
        <v>0.1</v>
      </c>
      <c r="F30" s="16">
        <v>5</v>
      </c>
      <c r="G30" s="17">
        <v>0</v>
      </c>
      <c r="H30" s="17">
        <v>4.8579553230324369E-7</v>
      </c>
      <c r="I30" s="17">
        <v>4.8579553230324369E-7</v>
      </c>
      <c r="J30" s="17">
        <v>5.0000000000000001E-3</v>
      </c>
      <c r="K30" s="17">
        <v>0</v>
      </c>
      <c r="L30" s="17">
        <v>4.8579529630605911E-7</v>
      </c>
      <c r="M30" s="17">
        <v>4.9207890000106422E-7</v>
      </c>
      <c r="N30" s="18">
        <v>1.9819562790866647E-8</v>
      </c>
      <c r="O30" s="17">
        <v>4.997032597099059</v>
      </c>
      <c r="P30" s="17">
        <v>4.9970325970990572</v>
      </c>
      <c r="Q30" s="14" t="s">
        <v>304</v>
      </c>
      <c r="R30" s="14">
        <v>0.79916686952686056</v>
      </c>
      <c r="S30" s="17">
        <v>9.9999999999999969E-8</v>
      </c>
      <c r="T30" s="17">
        <v>40.000000000000021</v>
      </c>
      <c r="U30" s="17">
        <v>101.32500000000003</v>
      </c>
      <c r="V30" s="17">
        <v>144.89779125232849</v>
      </c>
      <c r="W30" s="17">
        <v>144.84778831699924</v>
      </c>
      <c r="X30" s="17">
        <v>144.84778831699927</v>
      </c>
      <c r="Y30" s="17">
        <v>141.32499999999999</v>
      </c>
      <c r="Z30" s="17">
        <v>141.32500000000005</v>
      </c>
      <c r="AA30" s="14">
        <v>8.3444884849671067E-2</v>
      </c>
      <c r="AB30" s="17">
        <v>21.27817724335388</v>
      </c>
      <c r="AC30" s="19">
        <v>19.856929472458376</v>
      </c>
      <c r="AD30" s="19">
        <v>10.584699603360612</v>
      </c>
      <c r="AE30" s="17">
        <v>0.50449607755015768</v>
      </c>
      <c r="AF30" s="14">
        <v>0</v>
      </c>
      <c r="AG30" s="14">
        <v>0</v>
      </c>
      <c r="AH30" s="14" t="s">
        <v>305</v>
      </c>
      <c r="AI30" s="14">
        <v>0.51937379184021248</v>
      </c>
      <c r="AJ30" s="14">
        <v>0</v>
      </c>
      <c r="AK30" s="14" t="s">
        <v>305</v>
      </c>
      <c r="AL30" s="14"/>
      <c r="AM30" s="14"/>
      <c r="AN30" s="14" t="s">
        <v>306</v>
      </c>
      <c r="AO30" s="14" t="s">
        <v>307</v>
      </c>
      <c r="AP30" s="14" t="s">
        <v>308</v>
      </c>
      <c r="AQ30" s="14"/>
      <c r="AR30" s="14">
        <f t="shared" si="0"/>
        <v>0</v>
      </c>
      <c r="AS30" s="14">
        <f t="shared" si="1"/>
        <v>0</v>
      </c>
      <c r="AT30" s="14">
        <f t="shared" si="2"/>
        <v>0</v>
      </c>
      <c r="AU30" s="14">
        <f t="shared" si="3"/>
        <v>5.6843418860808015E-11</v>
      </c>
    </row>
    <row r="31" spans="1:47">
      <c r="A31" s="14" t="s">
        <v>49</v>
      </c>
      <c r="B31" s="14" t="s">
        <v>348</v>
      </c>
      <c r="C31" s="15" t="b">
        <v>1</v>
      </c>
      <c r="D31" s="15" t="b">
        <v>1</v>
      </c>
      <c r="E31" s="16">
        <v>0.1</v>
      </c>
      <c r="F31" s="16">
        <v>5</v>
      </c>
      <c r="G31" s="17">
        <v>0.1</v>
      </c>
      <c r="H31" s="17">
        <v>9.9999999999999992E-2</v>
      </c>
      <c r="I31" s="17">
        <v>-1.3877787807814457E-17</v>
      </c>
      <c r="J31" s="17">
        <v>5.000000000000001E-3</v>
      </c>
      <c r="K31" s="17">
        <v>9.0909090909090912E-2</v>
      </c>
      <c r="L31" s="17">
        <v>9.0909090909090898E-2</v>
      </c>
      <c r="M31" s="17">
        <v>9.1981883384558538E-2</v>
      </c>
      <c r="N31" s="18">
        <v>4.079815781116501E-3</v>
      </c>
      <c r="O31" s="17">
        <v>5.4019441572372102</v>
      </c>
      <c r="P31" s="17">
        <v>5.4019441572372093</v>
      </c>
      <c r="Q31" s="14" t="s">
        <v>304</v>
      </c>
      <c r="R31" s="14">
        <v>0.79918733581381884</v>
      </c>
      <c r="S31" s="17">
        <v>2.1016878610058489E-2</v>
      </c>
      <c r="T31" s="17">
        <v>40.000000000000014</v>
      </c>
      <c r="U31" s="17">
        <v>101.32500000000002</v>
      </c>
      <c r="V31" s="17">
        <v>145.27791601908285</v>
      </c>
      <c r="W31" s="17">
        <v>145.21741305109217</v>
      </c>
      <c r="X31" s="17">
        <v>145.21741305109222</v>
      </c>
      <c r="Y31" s="17">
        <v>141.32499999999999</v>
      </c>
      <c r="Z31" s="17">
        <v>141.32500000000007</v>
      </c>
      <c r="AA31" s="14">
        <v>0.12484117507982308</v>
      </c>
      <c r="AB31" s="17">
        <v>20.85778390843781</v>
      </c>
      <c r="AC31" s="19">
        <v>23.615935392545964</v>
      </c>
      <c r="AD31" s="19">
        <v>8.2448013404615565</v>
      </c>
      <c r="AE31" s="17">
        <v>0.59882029202102049</v>
      </c>
      <c r="AF31" s="14">
        <v>0</v>
      </c>
      <c r="AG31" s="14">
        <v>0</v>
      </c>
      <c r="AH31" s="14" t="s">
        <v>305</v>
      </c>
      <c r="AI31" s="14">
        <v>0.52033767816379484</v>
      </c>
      <c r="AJ31" s="14">
        <v>0</v>
      </c>
      <c r="AK31" s="14" t="s">
        <v>305</v>
      </c>
      <c r="AL31" s="14"/>
      <c r="AM31" s="14"/>
      <c r="AN31" s="14" t="s">
        <v>306</v>
      </c>
      <c r="AO31" s="14" t="s">
        <v>310</v>
      </c>
      <c r="AP31" s="14" t="s">
        <v>308</v>
      </c>
      <c r="AQ31" s="14"/>
      <c r="AR31" s="14">
        <f t="shared" si="0"/>
        <v>0</v>
      </c>
      <c r="AS31" s="14">
        <f t="shared" si="1"/>
        <v>0</v>
      </c>
      <c r="AT31" s="14">
        <f t="shared" si="2"/>
        <v>0</v>
      </c>
      <c r="AU31" s="14">
        <f t="shared" si="3"/>
        <v>8.5265128291212022E-11</v>
      </c>
    </row>
    <row r="32" spans="1:47">
      <c r="A32" s="14" t="s">
        <v>49</v>
      </c>
      <c r="B32" s="14" t="s">
        <v>349</v>
      </c>
      <c r="C32" s="15" t="b">
        <v>1</v>
      </c>
      <c r="D32" s="15" t="b">
        <v>1</v>
      </c>
      <c r="E32" s="16">
        <v>0.1</v>
      </c>
      <c r="F32" s="16">
        <v>5</v>
      </c>
      <c r="G32" s="17">
        <v>0.5</v>
      </c>
      <c r="H32" s="17">
        <v>0.49999999999999617</v>
      </c>
      <c r="I32" s="17">
        <v>-3.8302694349567901E-15</v>
      </c>
      <c r="J32" s="17">
        <v>2.5000000000000001E-2</v>
      </c>
      <c r="K32" s="17">
        <v>0.33333333333333331</v>
      </c>
      <c r="L32" s="17">
        <v>0.33333333333333159</v>
      </c>
      <c r="M32" s="17">
        <v>0.3362561791446666</v>
      </c>
      <c r="N32" s="18">
        <v>2.0399078905582346E-2</v>
      </c>
      <c r="O32" s="17">
        <v>7.0219694966746014</v>
      </c>
      <c r="P32" s="17">
        <v>7.0219694966745534</v>
      </c>
      <c r="Q32" s="14" t="s">
        <v>304</v>
      </c>
      <c r="R32" s="14">
        <v>0.79923863311981058</v>
      </c>
      <c r="S32" s="17">
        <v>0.10246900900385215</v>
      </c>
      <c r="T32" s="17">
        <v>40.000000000000014</v>
      </c>
      <c r="U32" s="17">
        <v>101.32500000000003</v>
      </c>
      <c r="V32" s="17">
        <v>146.84872443835386</v>
      </c>
      <c r="W32" s="17">
        <v>146.73622106805516</v>
      </c>
      <c r="X32" s="17">
        <v>146.73622106805516</v>
      </c>
      <c r="Y32" s="17">
        <v>141.32499999999999</v>
      </c>
      <c r="Z32" s="17">
        <v>141.32500000000007</v>
      </c>
      <c r="AA32" s="14">
        <v>0.23472071635881206</v>
      </c>
      <c r="AB32" s="17">
        <v>19.748847285869537</v>
      </c>
      <c r="AC32" s="19">
        <v>33.439557603601372</v>
      </c>
      <c r="AD32" s="19">
        <v>7.9436679461830408</v>
      </c>
      <c r="AE32" s="17">
        <v>0.63258315504028106</v>
      </c>
      <c r="AF32" s="14">
        <v>0</v>
      </c>
      <c r="AG32" s="14">
        <v>0</v>
      </c>
      <c r="AH32" s="14" t="s">
        <v>305</v>
      </c>
      <c r="AI32" s="14">
        <v>0.52356620778591123</v>
      </c>
      <c r="AJ32" s="14">
        <v>0</v>
      </c>
      <c r="AK32" s="14" t="s">
        <v>305</v>
      </c>
      <c r="AL32" s="14"/>
      <c r="AM32" s="14"/>
      <c r="AN32" s="14" t="s">
        <v>306</v>
      </c>
      <c r="AO32" s="14" t="s">
        <v>310</v>
      </c>
      <c r="AP32" s="14" t="s">
        <v>308</v>
      </c>
      <c r="AQ32" s="14"/>
      <c r="AR32" s="14">
        <f t="shared" si="0"/>
        <v>0</v>
      </c>
      <c r="AS32" s="14">
        <f t="shared" si="1"/>
        <v>0</v>
      </c>
      <c r="AT32" s="14">
        <f t="shared" si="2"/>
        <v>0</v>
      </c>
      <c r="AU32" s="14">
        <f t="shared" si="3"/>
        <v>8.5265128291212022E-11</v>
      </c>
    </row>
    <row r="33" spans="1:47">
      <c r="A33" s="14" t="s">
        <v>49</v>
      </c>
      <c r="B33" s="14" t="s">
        <v>350</v>
      </c>
      <c r="C33" s="15" t="b">
        <v>1</v>
      </c>
      <c r="D33" s="15" t="b">
        <v>1</v>
      </c>
      <c r="E33" s="16">
        <v>0.1</v>
      </c>
      <c r="F33" s="16">
        <v>5</v>
      </c>
      <c r="G33" s="17">
        <v>1</v>
      </c>
      <c r="H33" s="17">
        <v>0.99999999968000353</v>
      </c>
      <c r="I33" s="17">
        <v>-3.1999647376323992E-10</v>
      </c>
      <c r="J33" s="17">
        <v>0.05</v>
      </c>
      <c r="K33" s="17">
        <v>0.5</v>
      </c>
      <c r="L33" s="17">
        <v>0.49999999992000088</v>
      </c>
      <c r="M33" s="17">
        <v>0.50333750443523717</v>
      </c>
      <c r="N33" s="18">
        <v>4.0798157797762018E-2</v>
      </c>
      <c r="O33" s="17">
        <v>9.0478092835168091</v>
      </c>
      <c r="P33" s="17">
        <v>9.0478092811582638</v>
      </c>
      <c r="Q33" s="14" t="s">
        <v>304</v>
      </c>
      <c r="R33" s="14">
        <v>0.79926123062434595</v>
      </c>
      <c r="S33" s="17">
        <v>0.19932771711316086</v>
      </c>
      <c r="T33" s="17">
        <v>40.00000000004534</v>
      </c>
      <c r="U33" s="17">
        <v>101.32500000000002</v>
      </c>
      <c r="V33" s="17">
        <v>148.94786973262342</v>
      </c>
      <c r="W33" s="17">
        <v>148.74786568545932</v>
      </c>
      <c r="X33" s="17">
        <v>148.74786568545935</v>
      </c>
      <c r="Y33" s="17">
        <v>141.32499999999999</v>
      </c>
      <c r="Z33" s="17">
        <v>141.32500000004535</v>
      </c>
      <c r="AA33" s="14">
        <v>0.31025864407045051</v>
      </c>
      <c r="AB33" s="17">
        <v>18.997302891871698</v>
      </c>
      <c r="AC33" s="19">
        <v>39.958700545850661</v>
      </c>
      <c r="AD33" s="19">
        <v>9.7969142543269427</v>
      </c>
      <c r="AE33" s="17">
        <v>0.58167870671444588</v>
      </c>
      <c r="AF33" s="14">
        <v>0</v>
      </c>
      <c r="AG33" s="14">
        <v>0</v>
      </c>
      <c r="AH33" s="14" t="s">
        <v>305</v>
      </c>
      <c r="AI33" s="14">
        <v>0.52678536467257364</v>
      </c>
      <c r="AJ33" s="14">
        <v>0</v>
      </c>
      <c r="AK33" s="14" t="s">
        <v>305</v>
      </c>
      <c r="AL33" s="14"/>
      <c r="AM33" s="14"/>
      <c r="AN33" s="14" t="s">
        <v>306</v>
      </c>
      <c r="AO33" s="14" t="s">
        <v>310</v>
      </c>
      <c r="AP33" s="14" t="s">
        <v>308</v>
      </c>
      <c r="AQ33" s="14"/>
      <c r="AR33" s="14">
        <f t="shared" si="0"/>
        <v>0</v>
      </c>
      <c r="AS33" s="14">
        <f t="shared" si="1"/>
        <v>0</v>
      </c>
      <c r="AT33" s="14">
        <f t="shared" si="2"/>
        <v>0</v>
      </c>
      <c r="AU33" s="14">
        <f t="shared" si="3"/>
        <v>4.5361048250924796E-8</v>
      </c>
    </row>
    <row r="34" spans="1:47">
      <c r="A34" s="14" t="s">
        <v>49</v>
      </c>
      <c r="B34" s="14" t="s">
        <v>351</v>
      </c>
      <c r="C34" s="15" t="b">
        <v>1</v>
      </c>
      <c r="D34" s="15" t="b">
        <v>1</v>
      </c>
      <c r="E34" s="16">
        <v>0.1</v>
      </c>
      <c r="F34" s="16">
        <v>5</v>
      </c>
      <c r="G34" s="17">
        <v>2</v>
      </c>
      <c r="H34" s="17">
        <v>1.9999842594978439</v>
      </c>
      <c r="I34" s="17">
        <v>-1.5740502156136316E-5</v>
      </c>
      <c r="J34" s="17">
        <v>0.1</v>
      </c>
      <c r="K34" s="17">
        <v>0.66666666666666663</v>
      </c>
      <c r="L34" s="17">
        <v>0.66666491771165381</v>
      </c>
      <c r="M34" s="17">
        <v>0.66971980210426674</v>
      </c>
      <c r="N34" s="18">
        <v>8.1595657262162488E-2</v>
      </c>
      <c r="O34" s="17">
        <v>13.101976310534987</v>
      </c>
      <c r="P34" s="17">
        <v>13.101925663058951</v>
      </c>
      <c r="Q34" s="14" t="s">
        <v>304</v>
      </c>
      <c r="R34" s="14">
        <v>0.79924792207448214</v>
      </c>
      <c r="S34" s="17">
        <v>0.37927472515012828</v>
      </c>
      <c r="T34" s="17">
        <v>40.000000691625694</v>
      </c>
      <c r="U34" s="17">
        <v>101.32500000000002</v>
      </c>
      <c r="V34" s="17">
        <v>153.72379124514356</v>
      </c>
      <c r="W34" s="17">
        <v>153.27379016371322</v>
      </c>
      <c r="X34" s="17">
        <v>153.27379016371327</v>
      </c>
      <c r="Y34" s="17">
        <v>141.32499999999999</v>
      </c>
      <c r="Z34" s="17">
        <v>141.32500069162569</v>
      </c>
      <c r="AA34" s="14">
        <v>0.38726816818631021</v>
      </c>
      <c r="AB34" s="17">
        <v>18.259501468427814</v>
      </c>
      <c r="AC34" s="19">
        <v>46.041721589114388</v>
      </c>
      <c r="AD34" s="19">
        <v>12.189980518672328</v>
      </c>
      <c r="AE34" s="17">
        <v>0.52173433508166278</v>
      </c>
      <c r="AF34" s="14">
        <v>0</v>
      </c>
      <c r="AG34" s="14">
        <v>0</v>
      </c>
      <c r="AH34" s="14" t="s">
        <v>305</v>
      </c>
      <c r="AI34" s="14">
        <v>0.53238438513876252</v>
      </c>
      <c r="AJ34" s="14">
        <v>0</v>
      </c>
      <c r="AK34" s="14" t="s">
        <v>305</v>
      </c>
      <c r="AL34" s="14"/>
      <c r="AM34" s="14"/>
      <c r="AN34" s="14" t="s">
        <v>306</v>
      </c>
      <c r="AO34" s="14" t="s">
        <v>310</v>
      </c>
      <c r="AP34" s="14" t="s">
        <v>308</v>
      </c>
      <c r="AQ34" s="14"/>
      <c r="AR34" s="14">
        <f t="shared" si="0"/>
        <v>0</v>
      </c>
      <c r="AS34" s="14">
        <f t="shared" si="1"/>
        <v>0</v>
      </c>
      <c r="AT34" s="14">
        <f t="shared" si="2"/>
        <v>0</v>
      </c>
      <c r="AU34" s="14">
        <f t="shared" si="3"/>
        <v>6.9162570071057416E-4</v>
      </c>
    </row>
    <row r="35" spans="1:47">
      <c r="A35" s="14" t="s">
        <v>49</v>
      </c>
      <c r="B35" s="14" t="s">
        <v>352</v>
      </c>
      <c r="C35" s="15" t="b">
        <v>1</v>
      </c>
      <c r="D35" s="15" t="b">
        <v>1</v>
      </c>
      <c r="E35" s="16">
        <v>0.1</v>
      </c>
      <c r="F35" s="16">
        <v>5</v>
      </c>
      <c r="G35" s="17">
        <v>4</v>
      </c>
      <c r="H35" s="17">
        <v>3.9728303232591804</v>
      </c>
      <c r="I35" s="17">
        <v>-2.7169676740819604E-2</v>
      </c>
      <c r="J35" s="17">
        <v>0.2</v>
      </c>
      <c r="K35" s="17">
        <v>0.8</v>
      </c>
      <c r="L35" s="17">
        <v>0.79890715013000391</v>
      </c>
      <c r="M35" s="17">
        <v>0.80125486886207142</v>
      </c>
      <c r="N35" s="18">
        <v>0.16206722232858281</v>
      </c>
      <c r="O35" s="17">
        <v>21.108610966481756</v>
      </c>
      <c r="P35" s="17">
        <v>21.078463131049745</v>
      </c>
      <c r="Q35" s="14" t="s">
        <v>304</v>
      </c>
      <c r="R35" s="14">
        <v>0.79906725530346701</v>
      </c>
      <c r="S35" s="17">
        <v>0.74870418957970586</v>
      </c>
      <c r="T35" s="17">
        <v>40.000106266545075</v>
      </c>
      <c r="U35" s="17">
        <v>101.32500000000002</v>
      </c>
      <c r="V35" s="17">
        <v>166.0617781054622</v>
      </c>
      <c r="W35" s="17">
        <v>164.82557159555705</v>
      </c>
      <c r="X35" s="17">
        <v>164.82557159555711</v>
      </c>
      <c r="Y35" s="17">
        <v>141.32499999999999</v>
      </c>
      <c r="Z35" s="17">
        <v>141.32510626654508</v>
      </c>
      <c r="AA35" s="14">
        <v>0.45277171285309131</v>
      </c>
      <c r="AB35" s="17">
        <v>17.775077869356007</v>
      </c>
      <c r="AC35" s="19">
        <v>50.836564444255771</v>
      </c>
      <c r="AD35" s="19">
        <v>14.511838268063642</v>
      </c>
      <c r="AE35" s="17">
        <v>0.47027790682287174</v>
      </c>
      <c r="AF35" s="14">
        <v>0</v>
      </c>
      <c r="AG35" s="14">
        <v>0</v>
      </c>
      <c r="AH35" s="14" t="s">
        <v>305</v>
      </c>
      <c r="AI35" s="14">
        <v>0.54197045615071182</v>
      </c>
      <c r="AJ35" s="14">
        <v>0</v>
      </c>
      <c r="AK35" s="14" t="s">
        <v>305</v>
      </c>
      <c r="AL35" s="14"/>
      <c r="AM35" s="14"/>
      <c r="AN35" s="14" t="s">
        <v>306</v>
      </c>
      <c r="AO35" s="14" t="s">
        <v>310</v>
      </c>
      <c r="AP35" s="14" t="s">
        <v>308</v>
      </c>
      <c r="AQ35" s="14"/>
      <c r="AR35" s="14">
        <f t="shared" si="0"/>
        <v>0</v>
      </c>
      <c r="AS35" s="14">
        <f t="shared" si="1"/>
        <v>0</v>
      </c>
      <c r="AT35" s="14">
        <f t="shared" si="2"/>
        <v>0</v>
      </c>
      <c r="AU35" s="14">
        <f t="shared" si="3"/>
        <v>0.10626654508882893</v>
      </c>
    </row>
    <row r="36" spans="1:47">
      <c r="A36" s="14" t="s">
        <v>49</v>
      </c>
      <c r="B36" s="14" t="s">
        <v>353</v>
      </c>
      <c r="C36" s="15" t="b">
        <v>1</v>
      </c>
      <c r="D36" s="15" t="b">
        <v>0</v>
      </c>
      <c r="E36" s="16">
        <v>0.1</v>
      </c>
      <c r="F36" s="16">
        <v>5</v>
      </c>
      <c r="G36" s="17">
        <v>8</v>
      </c>
      <c r="H36" s="17">
        <v>5.404412899565239</v>
      </c>
      <c r="I36" s="17">
        <v>-2.595587100434761</v>
      </c>
      <c r="J36" s="17">
        <v>0.4</v>
      </c>
      <c r="K36" s="17">
        <v>0.88888888888888884</v>
      </c>
      <c r="L36" s="17">
        <v>0.84385766257077455</v>
      </c>
      <c r="M36" s="17">
        <v>0.84600756762985485</v>
      </c>
      <c r="N36" s="18">
        <v>0.22049009035315847</v>
      </c>
      <c r="O36" s="17">
        <v>26.956113431311682</v>
      </c>
      <c r="P36" s="17">
        <v>26.956113431311667</v>
      </c>
      <c r="Q36" s="14" t="s">
        <v>304</v>
      </c>
      <c r="R36" s="14">
        <v>0.79950185575417398</v>
      </c>
      <c r="S36" s="17">
        <v>1</v>
      </c>
      <c r="T36" s="17">
        <v>40.000000000000028</v>
      </c>
      <c r="U36" s="17">
        <v>101.32500000000002</v>
      </c>
      <c r="V36" s="17">
        <v>177.87400287994348</v>
      </c>
      <c r="W36" s="17">
        <v>175.82315928487191</v>
      </c>
      <c r="X36" s="17">
        <v>175.82315928487196</v>
      </c>
      <c r="Y36" s="17">
        <v>141.32499999999999</v>
      </c>
      <c r="Z36" s="17">
        <v>141.32500000000005</v>
      </c>
      <c r="AA36" s="14">
        <v>0.4916291717460004</v>
      </c>
      <c r="AB36" s="17">
        <v>17.579335153473163</v>
      </c>
      <c r="AC36" s="19">
        <v>49.280917749812829</v>
      </c>
      <c r="AD36" s="19">
        <v>12.685547238802698</v>
      </c>
      <c r="AE36" s="17">
        <v>0.51552999160349389</v>
      </c>
      <c r="AF36" s="14">
        <v>0</v>
      </c>
      <c r="AG36" s="14">
        <v>0</v>
      </c>
      <c r="AH36" s="14" t="s">
        <v>305</v>
      </c>
      <c r="AI36" s="14">
        <v>0.5630561583758259</v>
      </c>
      <c r="AJ36" s="14">
        <v>0</v>
      </c>
      <c r="AK36" s="14" t="s">
        <v>305</v>
      </c>
      <c r="AL36" s="14"/>
      <c r="AM36" s="14"/>
      <c r="AN36" s="14" t="s">
        <v>306</v>
      </c>
      <c r="AO36" s="14" t="s">
        <v>354</v>
      </c>
      <c r="AP36" s="14" t="s">
        <v>355</v>
      </c>
      <c r="AQ36" s="14"/>
      <c r="AR36" s="14">
        <f t="shared" si="0"/>
        <v>0</v>
      </c>
      <c r="AS36" s="14">
        <f t="shared" si="1"/>
        <v>0</v>
      </c>
      <c r="AT36" s="14">
        <f t="shared" si="2"/>
        <v>0</v>
      </c>
      <c r="AU36" s="14">
        <f t="shared" si="3"/>
        <v>5.6843418860808015E-11</v>
      </c>
    </row>
    <row r="37" spans="1:47">
      <c r="A37" s="14" t="s">
        <v>49</v>
      </c>
      <c r="B37" s="14" t="s">
        <v>356</v>
      </c>
      <c r="C37" s="15" t="b">
        <v>1</v>
      </c>
      <c r="D37" s="15" t="b">
        <v>1</v>
      </c>
      <c r="E37" s="16">
        <v>0.2</v>
      </c>
      <c r="F37" s="16">
        <v>3.6</v>
      </c>
      <c r="G37" s="17">
        <v>0</v>
      </c>
      <c r="H37" s="17">
        <v>4.0183019792405309E-7</v>
      </c>
      <c r="I37" s="17">
        <v>4.0183019792405309E-7</v>
      </c>
      <c r="J37" s="17">
        <v>5.0000000000000001E-3</v>
      </c>
      <c r="K37" s="17">
        <v>0</v>
      </c>
      <c r="L37" s="17">
        <v>4.0183003645660991E-7</v>
      </c>
      <c r="M37" s="17">
        <v>4.0684451531226418E-7</v>
      </c>
      <c r="N37" s="18">
        <v>2.3607261832603951E-8</v>
      </c>
      <c r="O37" s="17">
        <v>3.5978630745564262</v>
      </c>
      <c r="P37" s="17">
        <v>3.5978630745564253</v>
      </c>
      <c r="Q37" s="14" t="s">
        <v>304</v>
      </c>
      <c r="R37" s="14">
        <v>0.7806292629922037</v>
      </c>
      <c r="S37" s="17">
        <v>9.9999999999999982E-8</v>
      </c>
      <c r="T37" s="17">
        <v>55.000000000000021</v>
      </c>
      <c r="U37" s="17">
        <v>101.32500000000002</v>
      </c>
      <c r="V37" s="17">
        <v>161.58922351769075</v>
      </c>
      <c r="W37" s="17">
        <v>161.48554013230375</v>
      </c>
      <c r="X37" s="17">
        <v>161.48554013230375</v>
      </c>
      <c r="Y37" s="17">
        <v>156.32499999999999</v>
      </c>
      <c r="Z37" s="17">
        <v>156.32500000000002</v>
      </c>
      <c r="AA37" s="14">
        <v>8.4689974078741626E-2</v>
      </c>
      <c r="AB37" s="17">
        <v>21.278176460046872</v>
      </c>
      <c r="AC37" s="19">
        <v>19.703962282865575</v>
      </c>
      <c r="AD37" s="19">
        <v>10.431696116262842</v>
      </c>
      <c r="AE37" s="17">
        <v>0.50930810708312535</v>
      </c>
      <c r="AF37" s="14">
        <v>0</v>
      </c>
      <c r="AG37" s="14">
        <v>0</v>
      </c>
      <c r="AH37" s="14" t="s">
        <v>305</v>
      </c>
      <c r="AI37" s="14">
        <v>0.71433818778917191</v>
      </c>
      <c r="AJ37" s="14">
        <v>0</v>
      </c>
      <c r="AK37" s="14" t="s">
        <v>305</v>
      </c>
      <c r="AL37" s="14"/>
      <c r="AM37" s="14"/>
      <c r="AN37" s="14" t="s">
        <v>306</v>
      </c>
      <c r="AO37" s="14" t="s">
        <v>307</v>
      </c>
      <c r="AP37" s="14" t="s">
        <v>308</v>
      </c>
      <c r="AQ37" s="14"/>
      <c r="AR37" s="14">
        <f t="shared" si="0"/>
        <v>0</v>
      </c>
      <c r="AS37" s="14">
        <f t="shared" si="1"/>
        <v>0</v>
      </c>
      <c r="AT37" s="14">
        <f t="shared" si="2"/>
        <v>0</v>
      </c>
      <c r="AU37" s="14">
        <f t="shared" si="3"/>
        <v>2.8421709430404007E-11</v>
      </c>
    </row>
    <row r="38" spans="1:47">
      <c r="A38" s="14" t="s">
        <v>49</v>
      </c>
      <c r="B38" s="14" t="s">
        <v>357</v>
      </c>
      <c r="C38" s="15" t="b">
        <v>1</v>
      </c>
      <c r="D38" s="15" t="b">
        <v>1</v>
      </c>
      <c r="E38" s="16">
        <v>0.2</v>
      </c>
      <c r="F38" s="16">
        <v>3.6</v>
      </c>
      <c r="G38" s="17">
        <v>0.1</v>
      </c>
      <c r="H38" s="17">
        <v>0.10000000000000006</v>
      </c>
      <c r="I38" s="17">
        <v>5.5511151231257827E-17</v>
      </c>
      <c r="J38" s="17">
        <v>5.000000000000001E-3</v>
      </c>
      <c r="K38" s="17">
        <v>9.0909090909090912E-2</v>
      </c>
      <c r="L38" s="17">
        <v>9.0909090909090925E-2</v>
      </c>
      <c r="M38" s="17">
        <v>9.19478863353725E-2</v>
      </c>
      <c r="N38" s="18">
        <v>5.8749347248077642E-3</v>
      </c>
      <c r="O38" s="17">
        <v>3.8609287858120882</v>
      </c>
      <c r="P38" s="17">
        <v>3.8609287858120869</v>
      </c>
      <c r="Q38" s="14" t="s">
        <v>304</v>
      </c>
      <c r="R38" s="14">
        <v>0.78068103963910385</v>
      </c>
      <c r="S38" s="17">
        <v>2.5580975319980315E-2</v>
      </c>
      <c r="T38" s="17">
        <v>55.000000000000014</v>
      </c>
      <c r="U38" s="17">
        <v>101.32500000000003</v>
      </c>
      <c r="V38" s="17">
        <v>162.17109347295582</v>
      </c>
      <c r="W38" s="17">
        <v>162.04563720244826</v>
      </c>
      <c r="X38" s="17">
        <v>162.04563720244829</v>
      </c>
      <c r="Y38" s="17">
        <v>156.32499999999999</v>
      </c>
      <c r="Z38" s="17">
        <v>156.32500000000002</v>
      </c>
      <c r="AA38" s="14">
        <v>0.14529633086012408</v>
      </c>
      <c r="AB38" s="17">
        <v>20.68186407676523</v>
      </c>
      <c r="AC38" s="19">
        <v>23.680743035475246</v>
      </c>
      <c r="AD38" s="19">
        <v>6.1636163393160572</v>
      </c>
      <c r="AE38" s="17">
        <v>0.68382180954515059</v>
      </c>
      <c r="AF38" s="14">
        <v>0</v>
      </c>
      <c r="AG38" s="14">
        <v>0</v>
      </c>
      <c r="AH38" s="14" t="s">
        <v>305</v>
      </c>
      <c r="AI38" s="14">
        <v>0.7158910563740144</v>
      </c>
      <c r="AJ38" s="14">
        <v>0</v>
      </c>
      <c r="AK38" s="14" t="s">
        <v>305</v>
      </c>
      <c r="AL38" s="14"/>
      <c r="AM38" s="14"/>
      <c r="AN38" s="14" t="s">
        <v>306</v>
      </c>
      <c r="AO38" s="14" t="s">
        <v>310</v>
      </c>
      <c r="AP38" s="14" t="s">
        <v>308</v>
      </c>
      <c r="AQ38" s="14"/>
      <c r="AR38" s="14">
        <f t="shared" ref="AR38:AR56" si="4">MAX(0,AE38-1)*100</f>
        <v>0</v>
      </c>
      <c r="AS38" s="14">
        <f t="shared" ref="AS38:AS56" si="5">AF38*1000000</f>
        <v>0</v>
      </c>
      <c r="AT38" s="14">
        <f t="shared" ref="AT38:AT56" si="6">AG38*1000000</f>
        <v>0</v>
      </c>
      <c r="AU38" s="14">
        <f t="shared" ref="AU38:AU56" si="7">(Z38-Y38)*1000</f>
        <v>2.8421709430404007E-11</v>
      </c>
    </row>
    <row r="39" spans="1:47">
      <c r="A39" s="14" t="s">
        <v>49</v>
      </c>
      <c r="B39" s="14" t="s">
        <v>358</v>
      </c>
      <c r="C39" s="15" t="b">
        <v>1</v>
      </c>
      <c r="D39" s="15" t="b">
        <v>1</v>
      </c>
      <c r="E39" s="16">
        <v>0.2</v>
      </c>
      <c r="F39" s="16">
        <v>3.6</v>
      </c>
      <c r="G39" s="17">
        <v>0.5</v>
      </c>
      <c r="H39" s="17">
        <v>0.50000008455430656</v>
      </c>
      <c r="I39" s="17">
        <v>8.4554306556405834E-8</v>
      </c>
      <c r="J39" s="17">
        <v>2.5000000000000001E-2</v>
      </c>
      <c r="K39" s="17">
        <v>0.33333333333333331</v>
      </c>
      <c r="L39" s="17">
        <v>0.3333333709130164</v>
      </c>
      <c r="M39" s="17">
        <v>0.33619820346582363</v>
      </c>
      <c r="N39" s="18">
        <v>2.9374678598583871E-2</v>
      </c>
      <c r="O39" s="17">
        <v>4.9136266975922736</v>
      </c>
      <c r="P39" s="17">
        <v>4.9136262014921943</v>
      </c>
      <c r="Q39" s="14" t="s">
        <v>304</v>
      </c>
      <c r="R39" s="14">
        <v>0.78082819571541906</v>
      </c>
      <c r="S39" s="17">
        <v>0.12404209654197665</v>
      </c>
      <c r="T39" s="17">
        <v>55.000000023123562</v>
      </c>
      <c r="U39" s="17">
        <v>101.32500000000002</v>
      </c>
      <c r="V39" s="17">
        <v>164.63494493809739</v>
      </c>
      <c r="W39" s="17">
        <v>164.40166059939713</v>
      </c>
      <c r="X39" s="17">
        <v>164.40166059939719</v>
      </c>
      <c r="Y39" s="17">
        <v>156.32499999999999</v>
      </c>
      <c r="Z39" s="17">
        <v>156.32500002312361</v>
      </c>
      <c r="AA39" s="14">
        <v>0.30552219437850769</v>
      </c>
      <c r="AB39" s="17">
        <v>19.115668640857674</v>
      </c>
      <c r="AC39" s="19">
        <v>33.93988407875338</v>
      </c>
      <c r="AD39" s="19">
        <v>4.2136280191970386</v>
      </c>
      <c r="AE39" s="17">
        <v>0.78771257702127684</v>
      </c>
      <c r="AF39" s="14">
        <v>0</v>
      </c>
      <c r="AG39" s="14">
        <v>0</v>
      </c>
      <c r="AH39" s="14" t="s">
        <v>305</v>
      </c>
      <c r="AI39" s="14">
        <v>0.72115752923966203</v>
      </c>
      <c r="AJ39" s="14">
        <v>0</v>
      </c>
      <c r="AK39" s="14" t="s">
        <v>305</v>
      </c>
      <c r="AL39" s="14"/>
      <c r="AM39" s="14"/>
      <c r="AN39" s="14" t="s">
        <v>306</v>
      </c>
      <c r="AO39" s="14" t="s">
        <v>310</v>
      </c>
      <c r="AP39" s="14" t="s">
        <v>308</v>
      </c>
      <c r="AQ39" s="14"/>
      <c r="AR39" s="14">
        <f t="shared" si="4"/>
        <v>0</v>
      </c>
      <c r="AS39" s="14">
        <f t="shared" si="5"/>
        <v>0</v>
      </c>
      <c r="AT39" s="14">
        <f t="shared" si="6"/>
        <v>0</v>
      </c>
      <c r="AU39" s="14">
        <f t="shared" si="7"/>
        <v>2.3123618575482396E-5</v>
      </c>
    </row>
    <row r="40" spans="1:47">
      <c r="A40" s="14" t="s">
        <v>49</v>
      </c>
      <c r="B40" s="14" t="s">
        <v>359</v>
      </c>
      <c r="C40" s="15" t="b">
        <v>1</v>
      </c>
      <c r="D40" s="15" t="b">
        <v>1</v>
      </c>
      <c r="E40" s="16">
        <v>0.2</v>
      </c>
      <c r="F40" s="16">
        <v>3.6</v>
      </c>
      <c r="G40" s="17">
        <v>1</v>
      </c>
      <c r="H40" s="17">
        <v>0.9999999634711686</v>
      </c>
      <c r="I40" s="17">
        <v>-3.6528831404147866E-8</v>
      </c>
      <c r="J40" s="17">
        <v>0.05</v>
      </c>
      <c r="K40" s="17">
        <v>0.5</v>
      </c>
      <c r="L40" s="17">
        <v>0.49999999086779201</v>
      </c>
      <c r="M40" s="17">
        <v>0.50331216572567294</v>
      </c>
      <c r="N40" s="18">
        <v>5.8749345063421478E-2</v>
      </c>
      <c r="O40" s="17">
        <v>6.2303927154694589</v>
      </c>
      <c r="P40" s="17">
        <v>6.2303925851192039</v>
      </c>
      <c r="Q40" s="14" t="s">
        <v>304</v>
      </c>
      <c r="R40" s="14">
        <v>0.78093153205636756</v>
      </c>
      <c r="S40" s="17">
        <v>0.24834166834204091</v>
      </c>
      <c r="T40" s="17">
        <v>55.000000004391865</v>
      </c>
      <c r="U40" s="17">
        <v>101.32500000000003</v>
      </c>
      <c r="V40" s="17">
        <v>168.07883361395028</v>
      </c>
      <c r="W40" s="17">
        <v>167.66410792128065</v>
      </c>
      <c r="X40" s="17">
        <v>167.66410792128067</v>
      </c>
      <c r="Y40" s="17">
        <v>156.32499999999999</v>
      </c>
      <c r="Z40" s="17">
        <v>156.32500000439188</v>
      </c>
      <c r="AA40" s="14">
        <v>0.41526018855307051</v>
      </c>
      <c r="AB40" s="17">
        <v>18.060222770316862</v>
      </c>
      <c r="AC40" s="19">
        <v>40.549307080898018</v>
      </c>
      <c r="AD40" s="19">
        <v>5.5318841130943213</v>
      </c>
      <c r="AE40" s="17">
        <v>0.74094305033337593</v>
      </c>
      <c r="AF40" s="14">
        <v>0</v>
      </c>
      <c r="AG40" s="14">
        <v>0</v>
      </c>
      <c r="AH40" s="14" t="s">
        <v>305</v>
      </c>
      <c r="AI40" s="14">
        <v>0.72653288054021437</v>
      </c>
      <c r="AJ40" s="14">
        <v>0</v>
      </c>
      <c r="AK40" s="14" t="s">
        <v>305</v>
      </c>
      <c r="AL40" s="14"/>
      <c r="AM40" s="14"/>
      <c r="AN40" s="14" t="s">
        <v>306</v>
      </c>
      <c r="AO40" s="14" t="s">
        <v>310</v>
      </c>
      <c r="AP40" s="14" t="s">
        <v>308</v>
      </c>
      <c r="AQ40" s="14"/>
      <c r="AR40" s="14">
        <f t="shared" si="4"/>
        <v>0</v>
      </c>
      <c r="AS40" s="14">
        <f t="shared" si="5"/>
        <v>0</v>
      </c>
      <c r="AT40" s="14">
        <f t="shared" si="6"/>
        <v>0</v>
      </c>
      <c r="AU40" s="14">
        <f t="shared" si="7"/>
        <v>4.3918930714426097E-6</v>
      </c>
    </row>
    <row r="41" spans="1:47">
      <c r="A41" s="14" t="s">
        <v>49</v>
      </c>
      <c r="B41" s="14" t="s">
        <v>360</v>
      </c>
      <c r="C41" s="15" t="b">
        <v>1</v>
      </c>
      <c r="D41" s="15" t="b">
        <v>1</v>
      </c>
      <c r="E41" s="16">
        <v>0.2</v>
      </c>
      <c r="F41" s="16">
        <v>3.6</v>
      </c>
      <c r="G41" s="17">
        <v>2</v>
      </c>
      <c r="H41" s="17">
        <v>1.9997580798946706</v>
      </c>
      <c r="I41" s="17">
        <v>-2.4192010532941843E-4</v>
      </c>
      <c r="J41" s="17">
        <v>0.1</v>
      </c>
      <c r="K41" s="17">
        <v>0.66666666666666663</v>
      </c>
      <c r="L41" s="17">
        <v>0.66663978431592763</v>
      </c>
      <c r="M41" s="17">
        <v>0.66974636920855823</v>
      </c>
      <c r="N41" s="18">
        <v>0.11748426479317227</v>
      </c>
      <c r="O41" s="17">
        <v>8.8662470053981188</v>
      </c>
      <c r="P41" s="17">
        <v>8.8658803658169276</v>
      </c>
      <c r="Q41" s="14" t="s">
        <v>304</v>
      </c>
      <c r="R41" s="14">
        <v>0.78103338152792801</v>
      </c>
      <c r="S41" s="17">
        <v>0.4983307606235105</v>
      </c>
      <c r="T41" s="17">
        <v>55.000004815612748</v>
      </c>
      <c r="U41" s="17">
        <v>101.32500000000002</v>
      </c>
      <c r="V41" s="17">
        <v>176.46552196477882</v>
      </c>
      <c r="W41" s="17">
        <v>175.53254618852543</v>
      </c>
      <c r="X41" s="17">
        <v>175.53254618852546</v>
      </c>
      <c r="Y41" s="17">
        <v>156.32499999999999</v>
      </c>
      <c r="Z41" s="17">
        <v>156.32500481561277</v>
      </c>
      <c r="AA41" s="14">
        <v>0.52735803907508094</v>
      </c>
      <c r="AB41" s="17">
        <v>17.026924885142691</v>
      </c>
      <c r="AC41" s="19">
        <v>46.161583331981433</v>
      </c>
      <c r="AD41" s="19">
        <v>7.0812979702171504</v>
      </c>
      <c r="AE41" s="17">
        <v>0.69033527775164183</v>
      </c>
      <c r="AF41" s="14">
        <v>0</v>
      </c>
      <c r="AG41" s="14">
        <v>0</v>
      </c>
      <c r="AH41" s="14" t="s">
        <v>305</v>
      </c>
      <c r="AI41" s="14">
        <v>0.73644634238277928</v>
      </c>
      <c r="AJ41" s="14">
        <v>0</v>
      </c>
      <c r="AK41" s="14" t="s">
        <v>305</v>
      </c>
      <c r="AL41" s="14"/>
      <c r="AM41" s="14"/>
      <c r="AN41" s="14" t="s">
        <v>306</v>
      </c>
      <c r="AO41" s="14" t="s">
        <v>310</v>
      </c>
      <c r="AP41" s="14" t="s">
        <v>308</v>
      </c>
      <c r="AQ41" s="14"/>
      <c r="AR41" s="14">
        <f t="shared" si="4"/>
        <v>0</v>
      </c>
      <c r="AS41" s="14">
        <f t="shared" si="5"/>
        <v>0</v>
      </c>
      <c r="AT41" s="14">
        <f t="shared" si="6"/>
        <v>0</v>
      </c>
      <c r="AU41" s="14">
        <f t="shared" si="7"/>
        <v>4.8156127832044149E-3</v>
      </c>
    </row>
    <row r="42" spans="1:47">
      <c r="A42" s="14" t="s">
        <v>49</v>
      </c>
      <c r="B42" s="14" t="s">
        <v>361</v>
      </c>
      <c r="C42" s="15" t="b">
        <v>1</v>
      </c>
      <c r="D42" s="15" t="b">
        <v>1</v>
      </c>
      <c r="E42" s="16">
        <v>0.2</v>
      </c>
      <c r="F42" s="16">
        <v>3.6</v>
      </c>
      <c r="G42" s="17">
        <v>4</v>
      </c>
      <c r="H42" s="17">
        <v>3.9369317674030153</v>
      </c>
      <c r="I42" s="17">
        <v>-6.3068232596984686E-2</v>
      </c>
      <c r="J42" s="17">
        <v>0.2</v>
      </c>
      <c r="K42" s="17">
        <v>0.8</v>
      </c>
      <c r="L42" s="17">
        <v>0.79744457797268842</v>
      </c>
      <c r="M42" s="17">
        <v>0.80003347070873365</v>
      </c>
      <c r="N42" s="18">
        <v>0.23126050038598531</v>
      </c>
      <c r="O42" s="17">
        <v>13.988580196575857</v>
      </c>
      <c r="P42" s="17">
        <v>13.95169180592406</v>
      </c>
      <c r="Q42" s="14" t="s">
        <v>304</v>
      </c>
      <c r="R42" s="14">
        <v>0.78124993644013774</v>
      </c>
      <c r="S42" s="17">
        <v>0.96198991652066301</v>
      </c>
      <c r="T42" s="17">
        <v>55.00009016211073</v>
      </c>
      <c r="U42" s="17">
        <v>101.32500000000002</v>
      </c>
      <c r="V42" s="17">
        <v>199.57512878474415</v>
      </c>
      <c r="W42" s="17">
        <v>197.04876985558826</v>
      </c>
      <c r="X42" s="17">
        <v>197.04876985558829</v>
      </c>
      <c r="Y42" s="17">
        <v>156.32499999999999</v>
      </c>
      <c r="Z42" s="17">
        <v>156.32509016211077</v>
      </c>
      <c r="AA42" s="14">
        <v>0.63130588441401314</v>
      </c>
      <c r="AB42" s="17">
        <v>16.2528540392269</v>
      </c>
      <c r="AC42" s="19">
        <v>47.194091638838074</v>
      </c>
      <c r="AD42" s="19">
        <v>5.7411252352653861</v>
      </c>
      <c r="AE42" s="17">
        <v>0.74320177717516067</v>
      </c>
      <c r="AF42" s="14">
        <v>0</v>
      </c>
      <c r="AG42" s="14">
        <v>0</v>
      </c>
      <c r="AH42" s="14" t="s">
        <v>305</v>
      </c>
      <c r="AI42" s="14">
        <v>0.76347657435983962</v>
      </c>
      <c r="AJ42" s="14">
        <v>0</v>
      </c>
      <c r="AK42" s="14" t="s">
        <v>305</v>
      </c>
      <c r="AL42" s="14"/>
      <c r="AM42" s="14"/>
      <c r="AN42" s="14" t="s">
        <v>306</v>
      </c>
      <c r="AO42" s="14" t="s">
        <v>310</v>
      </c>
      <c r="AP42" s="14" t="s">
        <v>308</v>
      </c>
      <c r="AQ42" s="14"/>
      <c r="AR42" s="14">
        <f t="shared" si="4"/>
        <v>0</v>
      </c>
      <c r="AS42" s="14">
        <f t="shared" si="5"/>
        <v>0</v>
      </c>
      <c r="AT42" s="14">
        <f t="shared" si="6"/>
        <v>0</v>
      </c>
      <c r="AU42" s="14">
        <f t="shared" si="7"/>
        <v>9.0162110780056537E-2</v>
      </c>
    </row>
    <row r="43" spans="1:47">
      <c r="A43" s="14" t="s">
        <v>49</v>
      </c>
      <c r="B43" s="14" t="s">
        <v>362</v>
      </c>
      <c r="C43" s="15" t="b">
        <v>1</v>
      </c>
      <c r="D43" s="15" t="b">
        <v>0</v>
      </c>
      <c r="E43" s="16">
        <v>0.2</v>
      </c>
      <c r="F43" s="16">
        <v>3.6</v>
      </c>
      <c r="G43" s="17">
        <v>8</v>
      </c>
      <c r="H43" s="17">
        <v>4.1060140803565606</v>
      </c>
      <c r="I43" s="17">
        <v>-3.8939859196434394</v>
      </c>
      <c r="J43" s="17">
        <v>0.4</v>
      </c>
      <c r="K43" s="17">
        <v>0.88888888888888884</v>
      </c>
      <c r="L43" s="17">
        <v>0.80415251813599231</v>
      </c>
      <c r="M43" s="17">
        <v>0.80670499158072295</v>
      </c>
      <c r="N43" s="18">
        <v>0.24122564701236365</v>
      </c>
      <c r="O43" s="17">
        <v>14.439935419732274</v>
      </c>
      <c r="P43" s="17">
        <v>14.439935419732262</v>
      </c>
      <c r="Q43" s="14" t="s">
        <v>304</v>
      </c>
      <c r="R43" s="14">
        <v>0.7812804633679139</v>
      </c>
      <c r="S43" s="17">
        <v>1</v>
      </c>
      <c r="T43" s="17">
        <v>55.000000000000014</v>
      </c>
      <c r="U43" s="17">
        <v>101.32500000000002</v>
      </c>
      <c r="V43" s="17">
        <v>202.07205747186839</v>
      </c>
      <c r="W43" s="17">
        <v>199.36895340369796</v>
      </c>
      <c r="X43" s="17">
        <v>199.36895340369801</v>
      </c>
      <c r="Y43" s="17">
        <v>156.32499999999999</v>
      </c>
      <c r="Z43" s="17">
        <v>156.32500000000002</v>
      </c>
      <c r="AA43" s="14">
        <v>0.63824079837628322</v>
      </c>
      <c r="AB43" s="17">
        <v>16.217378266308923</v>
      </c>
      <c r="AC43" s="19">
        <v>46.983145809137739</v>
      </c>
      <c r="AD43" s="19">
        <v>5.4466712164904152</v>
      </c>
      <c r="AE43" s="17">
        <v>0.75452049476329253</v>
      </c>
      <c r="AF43" s="14">
        <v>0</v>
      </c>
      <c r="AG43" s="14">
        <v>0</v>
      </c>
      <c r="AH43" s="14" t="s">
        <v>305</v>
      </c>
      <c r="AI43" s="14">
        <v>0.76673888043190186</v>
      </c>
      <c r="AJ43" s="14">
        <v>0</v>
      </c>
      <c r="AK43" s="14" t="s">
        <v>305</v>
      </c>
      <c r="AL43" s="14"/>
      <c r="AM43" s="14"/>
      <c r="AN43" s="14" t="s">
        <v>306</v>
      </c>
      <c r="AO43" s="14" t="s">
        <v>354</v>
      </c>
      <c r="AP43" s="14" t="s">
        <v>355</v>
      </c>
      <c r="AQ43" s="14"/>
      <c r="AR43" s="14">
        <f t="shared" si="4"/>
        <v>0</v>
      </c>
      <c r="AS43" s="14">
        <f t="shared" si="5"/>
        <v>0</v>
      </c>
      <c r="AT43" s="14">
        <f t="shared" si="6"/>
        <v>0</v>
      </c>
      <c r="AU43" s="14">
        <f t="shared" si="7"/>
        <v>2.8421709430404007E-11</v>
      </c>
    </row>
    <row r="44" spans="1:47">
      <c r="A44" s="14" t="s">
        <v>49</v>
      </c>
      <c r="B44" s="14" t="s">
        <v>363</v>
      </c>
      <c r="C44" s="15" t="b">
        <v>1</v>
      </c>
      <c r="D44" s="15" t="b">
        <v>1</v>
      </c>
      <c r="E44" s="16">
        <v>0.4</v>
      </c>
      <c r="F44" s="16">
        <v>2.4</v>
      </c>
      <c r="G44" s="17">
        <v>0</v>
      </c>
      <c r="H44" s="17">
        <v>3.4442295152619923E-7</v>
      </c>
      <c r="I44" s="17">
        <v>3.4442295152619923E-7</v>
      </c>
      <c r="J44" s="17">
        <v>5.0000000000000001E-3</v>
      </c>
      <c r="K44" s="17">
        <v>0</v>
      </c>
      <c r="L44" s="17">
        <v>3.4442283289907059E-7</v>
      </c>
      <c r="M44" s="17">
        <v>3.4759720392663814E-7</v>
      </c>
      <c r="N44" s="18">
        <v>2.6979498105893981E-8</v>
      </c>
      <c r="O44" s="17">
        <v>2.3985740401981905</v>
      </c>
      <c r="P44" s="17">
        <v>2.3985740401981901</v>
      </c>
      <c r="Q44" s="14" t="s">
        <v>304</v>
      </c>
      <c r="R44" s="14">
        <v>0.75853153451828847</v>
      </c>
      <c r="S44" s="17">
        <v>9.9999999999999969E-8</v>
      </c>
      <c r="T44" s="17">
        <v>70.000000000000014</v>
      </c>
      <c r="U44" s="17">
        <v>101.32500000000002</v>
      </c>
      <c r="V44" s="17">
        <v>178.5828293377358</v>
      </c>
      <c r="W44" s="17">
        <v>178.3985052848407</v>
      </c>
      <c r="X44" s="17">
        <v>178.39850528484075</v>
      </c>
      <c r="Y44" s="17">
        <v>171.32499999999999</v>
      </c>
      <c r="Z44" s="17">
        <v>171.32500000000007</v>
      </c>
      <c r="AA44" s="14">
        <v>8.1371614191921252E-2</v>
      </c>
      <c r="AB44" s="17">
        <v>21.278163671912385</v>
      </c>
      <c r="AC44" s="19">
        <v>19.474729258580226</v>
      </c>
      <c r="AD44" s="19">
        <v>10.202163497403653</v>
      </c>
      <c r="AE44" s="17">
        <v>0.51662475115034756</v>
      </c>
      <c r="AF44" s="14">
        <v>0</v>
      </c>
      <c r="AG44" s="14">
        <v>0</v>
      </c>
      <c r="AH44" s="14" t="s">
        <v>305</v>
      </c>
      <c r="AI44" s="14">
        <v>0.99959113871718408</v>
      </c>
      <c r="AJ44" s="14">
        <v>2.4682183324602184E-5</v>
      </c>
      <c r="AK44" s="14" t="s">
        <v>331</v>
      </c>
      <c r="AL44" s="14"/>
      <c r="AM44" s="14"/>
      <c r="AN44" s="14" t="s">
        <v>306</v>
      </c>
      <c r="AO44" s="14" t="s">
        <v>307</v>
      </c>
      <c r="AP44" s="14" t="s">
        <v>308</v>
      </c>
      <c r="AQ44" s="14"/>
      <c r="AR44" s="14">
        <f t="shared" si="4"/>
        <v>0</v>
      </c>
      <c r="AS44" s="14">
        <f t="shared" si="5"/>
        <v>0</v>
      </c>
      <c r="AT44" s="14">
        <f t="shared" si="6"/>
        <v>0</v>
      </c>
      <c r="AU44" s="14">
        <f t="shared" si="7"/>
        <v>8.5265128291212022E-11</v>
      </c>
    </row>
    <row r="45" spans="1:47">
      <c r="A45" s="14" t="s">
        <v>49</v>
      </c>
      <c r="B45" s="14" t="s">
        <v>364</v>
      </c>
      <c r="C45" s="15" t="b">
        <v>1</v>
      </c>
      <c r="D45" s="15" t="b">
        <v>1</v>
      </c>
      <c r="E45" s="16">
        <v>0.4</v>
      </c>
      <c r="F45" s="16">
        <v>2.4</v>
      </c>
      <c r="G45" s="17">
        <v>0.1</v>
      </c>
      <c r="H45" s="17">
        <v>0.10000000038406452</v>
      </c>
      <c r="I45" s="17">
        <v>3.8406451630113025E-10</v>
      </c>
      <c r="J45" s="17">
        <v>5.000000000000001E-3</v>
      </c>
      <c r="K45" s="17">
        <v>9.0909090909090912E-2</v>
      </c>
      <c r="L45" s="17">
        <v>9.0909091226499525E-2</v>
      </c>
      <c r="M45" s="17">
        <v>9.1677967990532849E-2</v>
      </c>
      <c r="N45" s="18">
        <v>7.8332463309840721E-3</v>
      </c>
      <c r="O45" s="17">
        <v>2.5397420417439158</v>
      </c>
      <c r="P45" s="17">
        <v>2.5397420240207311</v>
      </c>
      <c r="Q45" s="14" t="s">
        <v>304</v>
      </c>
      <c r="R45" s="14">
        <v>0.75850714539492614</v>
      </c>
      <c r="S45" s="17">
        <v>3.0481387358117555E-2</v>
      </c>
      <c r="T45" s="17">
        <v>70.0000000076882</v>
      </c>
      <c r="U45" s="17">
        <v>101.32500000000002</v>
      </c>
      <c r="V45" s="17">
        <v>179.4232984406336</v>
      </c>
      <c r="W45" s="17">
        <v>179.20026701503295</v>
      </c>
      <c r="X45" s="17">
        <v>179.20026701503298</v>
      </c>
      <c r="Y45" s="17">
        <v>171.32499999999999</v>
      </c>
      <c r="Z45" s="17">
        <v>171.3250000076882</v>
      </c>
      <c r="AA45" s="14">
        <v>0.17506314160742245</v>
      </c>
      <c r="AB45" s="17">
        <v>20.362321041886574</v>
      </c>
      <c r="AC45" s="19">
        <v>23.890986308021809</v>
      </c>
      <c r="AD45" s="19">
        <v>2.7445749002865156</v>
      </c>
      <c r="AE45" s="17">
        <v>0.84641852927297212</v>
      </c>
      <c r="AF45" s="14">
        <v>0</v>
      </c>
      <c r="AG45" s="14">
        <v>0</v>
      </c>
      <c r="AH45" s="14" t="s">
        <v>305</v>
      </c>
      <c r="AI45" s="14">
        <v>0.99958835851678884</v>
      </c>
      <c r="AJ45" s="14">
        <v>3.1078235827404056E-5</v>
      </c>
      <c r="AK45" s="14" t="s">
        <v>331</v>
      </c>
      <c r="AL45" s="14"/>
      <c r="AM45" s="14"/>
      <c r="AN45" s="14" t="s">
        <v>306</v>
      </c>
      <c r="AO45" s="14" t="s">
        <v>310</v>
      </c>
      <c r="AP45" s="14" t="s">
        <v>308</v>
      </c>
      <c r="AQ45" s="14"/>
      <c r="AR45" s="14">
        <f t="shared" si="4"/>
        <v>0</v>
      </c>
      <c r="AS45" s="14">
        <f t="shared" si="5"/>
        <v>0</v>
      </c>
      <c r="AT45" s="14">
        <f t="shared" si="6"/>
        <v>0</v>
      </c>
      <c r="AU45" s="14">
        <f t="shared" si="7"/>
        <v>7.688214509471436E-6</v>
      </c>
    </row>
    <row r="46" spans="1:47">
      <c r="A46" s="14" t="s">
        <v>49</v>
      </c>
      <c r="B46" s="14" t="s">
        <v>365</v>
      </c>
      <c r="C46" s="15" t="b">
        <v>1</v>
      </c>
      <c r="D46" s="15" t="b">
        <v>1</v>
      </c>
      <c r="E46" s="16">
        <v>0.4</v>
      </c>
      <c r="F46" s="16">
        <v>2.4</v>
      </c>
      <c r="G46" s="17">
        <v>0.5</v>
      </c>
      <c r="H46" s="17">
        <v>0.49999999997362682</v>
      </c>
      <c r="I46" s="17">
        <v>-2.63731814165169E-11</v>
      </c>
      <c r="J46" s="17">
        <v>2.5000000000000001E-2</v>
      </c>
      <c r="K46" s="17">
        <v>0.33333333333333331</v>
      </c>
      <c r="L46" s="17">
        <v>0.33333333332161197</v>
      </c>
      <c r="M46" s="17">
        <v>0.33548807260660107</v>
      </c>
      <c r="N46" s="18">
        <v>3.9166231496629102E-2</v>
      </c>
      <c r="O46" s="17">
        <v>3.1046855844080201</v>
      </c>
      <c r="P46" s="17">
        <v>3.1046855843337622</v>
      </c>
      <c r="Q46" s="14" t="s">
        <v>304</v>
      </c>
      <c r="R46" s="14">
        <v>0.75840649425388762</v>
      </c>
      <c r="S46" s="17">
        <v>0.1534092626305083</v>
      </c>
      <c r="T46" s="17">
        <v>70.000000000005215</v>
      </c>
      <c r="U46" s="17">
        <v>101.32500000000003</v>
      </c>
      <c r="V46" s="17">
        <v>183.08102587281064</v>
      </c>
      <c r="W46" s="17">
        <v>182.66630016446155</v>
      </c>
      <c r="X46" s="17">
        <v>182.66630016446157</v>
      </c>
      <c r="Y46" s="17">
        <v>171.32499999999999</v>
      </c>
      <c r="Z46" s="17">
        <v>171.32500000000522</v>
      </c>
      <c r="AA46" s="14">
        <v>0.42185105088758684</v>
      </c>
      <c r="AB46" s="17">
        <v>17.974346334514138</v>
      </c>
      <c r="AC46" s="19">
        <v>35.137615321382327</v>
      </c>
      <c r="AD46" s="19">
        <v>-1.0046317429961391</v>
      </c>
      <c r="AE46" s="17">
        <v>1.0568679230272158</v>
      </c>
      <c r="AF46" s="14">
        <v>2.3036588243729008E-7</v>
      </c>
      <c r="AG46" s="14">
        <v>1.3821952946237405E-5</v>
      </c>
      <c r="AH46" s="14" t="s">
        <v>331</v>
      </c>
      <c r="AI46" s="14">
        <v>0.99957439742390974</v>
      </c>
      <c r="AJ46" s="14">
        <v>5.8957881016243647E-5</v>
      </c>
      <c r="AK46" s="14" t="s">
        <v>331</v>
      </c>
      <c r="AL46" s="14"/>
      <c r="AM46" s="14"/>
      <c r="AN46" s="14" t="s">
        <v>306</v>
      </c>
      <c r="AO46" s="14" t="s">
        <v>310</v>
      </c>
      <c r="AP46" s="14" t="s">
        <v>337</v>
      </c>
      <c r="AQ46" s="14"/>
      <c r="AR46" s="14">
        <f t="shared" si="4"/>
        <v>5.6867923027215772</v>
      </c>
      <c r="AS46" s="14">
        <f t="shared" si="5"/>
        <v>0.23036588243729009</v>
      </c>
      <c r="AT46" s="14">
        <f t="shared" si="6"/>
        <v>13.821952946237404</v>
      </c>
      <c r="AU46" s="14">
        <f t="shared" si="7"/>
        <v>5.2295945351943374E-9</v>
      </c>
    </row>
    <row r="47" spans="1:47">
      <c r="A47" s="14" t="s">
        <v>49</v>
      </c>
      <c r="B47" s="14" t="s">
        <v>366</v>
      </c>
      <c r="C47" s="15" t="b">
        <v>1</v>
      </c>
      <c r="D47" s="15" t="b">
        <v>1</v>
      </c>
      <c r="E47" s="16">
        <v>0.4</v>
      </c>
      <c r="F47" s="16">
        <v>2.4</v>
      </c>
      <c r="G47" s="17">
        <v>1</v>
      </c>
      <c r="H47" s="17">
        <v>0.9999996262356925</v>
      </c>
      <c r="I47" s="17">
        <v>-3.7376430750413192E-7</v>
      </c>
      <c r="J47" s="17">
        <v>0.05</v>
      </c>
      <c r="K47" s="17">
        <v>0.5</v>
      </c>
      <c r="L47" s="17">
        <v>0.4999999065589017</v>
      </c>
      <c r="M47" s="17">
        <v>0.50257256058224076</v>
      </c>
      <c r="N47" s="18">
        <v>7.8332433344514577E-2</v>
      </c>
      <c r="O47" s="17">
        <v>3.8116298546155916</v>
      </c>
      <c r="P47" s="17">
        <v>3.8116292812474102</v>
      </c>
      <c r="Q47" s="14" t="s">
        <v>304</v>
      </c>
      <c r="R47" s="14">
        <v>0.75827268614491938</v>
      </c>
      <c r="S47" s="17">
        <v>0.30849558518433651</v>
      </c>
      <c r="T47" s="17">
        <v>70.000000025965065</v>
      </c>
      <c r="U47" s="17">
        <v>101.32500000000002</v>
      </c>
      <c r="V47" s="17">
        <v>188.42802267245381</v>
      </c>
      <c r="W47" s="17">
        <v>187.69073475136679</v>
      </c>
      <c r="X47" s="17">
        <v>187.69073475136685</v>
      </c>
      <c r="Y47" s="17">
        <v>171.32499999999999</v>
      </c>
      <c r="Z47" s="17">
        <v>171.3250000259651</v>
      </c>
      <c r="AA47" s="14">
        <v>0.59077105626093618</v>
      </c>
      <c r="AB47" s="17">
        <v>16.379833344616952</v>
      </c>
      <c r="AC47" s="19">
        <v>42.143816196942623</v>
      </c>
      <c r="AD47" s="19">
        <v>-5.6841979613466265E-2</v>
      </c>
      <c r="AE47" s="17">
        <v>1.0029882941873842</v>
      </c>
      <c r="AF47" s="14">
        <v>7.7339636979279638E-9</v>
      </c>
      <c r="AG47" s="14">
        <v>4.640378218756778E-7</v>
      </c>
      <c r="AH47" s="14" t="s">
        <v>331</v>
      </c>
      <c r="AI47" s="14">
        <v>0.99958743558537311</v>
      </c>
      <c r="AJ47" s="14">
        <v>9.9493927146050083E-5</v>
      </c>
      <c r="AK47" s="14" t="s">
        <v>331</v>
      </c>
      <c r="AL47" s="14"/>
      <c r="AM47" s="14"/>
      <c r="AN47" s="14" t="s">
        <v>306</v>
      </c>
      <c r="AO47" s="14" t="s">
        <v>310</v>
      </c>
      <c r="AP47" s="14" t="s">
        <v>337</v>
      </c>
      <c r="AQ47" s="14"/>
      <c r="AR47" s="14">
        <f t="shared" si="4"/>
        <v>0.29882941873842217</v>
      </c>
      <c r="AS47" s="14">
        <f t="shared" si="5"/>
        <v>7.7339636979279636E-3</v>
      </c>
      <c r="AT47" s="14">
        <f t="shared" si="6"/>
        <v>0.46403782187567783</v>
      </c>
      <c r="AU47" s="14">
        <f t="shared" si="7"/>
        <v>2.5965107397496467E-5</v>
      </c>
    </row>
    <row r="48" spans="1:47">
      <c r="A48" s="14" t="s">
        <v>49</v>
      </c>
      <c r="B48" s="14" t="s">
        <v>367</v>
      </c>
      <c r="C48" s="15" t="b">
        <v>1</v>
      </c>
      <c r="D48" s="15" t="b">
        <v>1</v>
      </c>
      <c r="E48" s="16">
        <v>0.4</v>
      </c>
      <c r="F48" s="16">
        <v>2.4</v>
      </c>
      <c r="G48" s="17">
        <v>2</v>
      </c>
      <c r="H48" s="17">
        <v>1.9989929183186941</v>
      </c>
      <c r="I48" s="17">
        <v>-1.0070816813059214E-3</v>
      </c>
      <c r="J48" s="17">
        <v>0.1</v>
      </c>
      <c r="K48" s="17">
        <v>0.66666666666666663</v>
      </c>
      <c r="L48" s="17">
        <v>0.66655472908320534</v>
      </c>
      <c r="M48" s="17">
        <v>0.66920636547522727</v>
      </c>
      <c r="N48" s="18">
        <v>0.15658524496841539</v>
      </c>
      <c r="O48" s="17">
        <v>5.2279101781687682</v>
      </c>
      <c r="P48" s="17">
        <v>5.2272451063174703</v>
      </c>
      <c r="Q48" s="14" t="s">
        <v>304</v>
      </c>
      <c r="R48" s="14">
        <v>0.75800144659623026</v>
      </c>
      <c r="S48" s="17">
        <v>0.61724182171314035</v>
      </c>
      <c r="T48" s="17">
        <v>70.000012454701064</v>
      </c>
      <c r="U48" s="17">
        <v>101.32500000000002</v>
      </c>
      <c r="V48" s="17">
        <v>202.16979409197805</v>
      </c>
      <c r="W48" s="17">
        <v>200.51202913228269</v>
      </c>
      <c r="X48" s="17">
        <v>200.51202913228272</v>
      </c>
      <c r="Y48" s="17">
        <v>171.32499999999999</v>
      </c>
      <c r="Z48" s="17">
        <v>171.3250124547011</v>
      </c>
      <c r="AA48" s="14">
        <v>0.7662277184163937</v>
      </c>
      <c r="AB48" s="17">
        <v>14.835625856917414</v>
      </c>
      <c r="AC48" s="19">
        <v>47.441218043402102</v>
      </c>
      <c r="AD48" s="19">
        <v>0.77828074778226153</v>
      </c>
      <c r="AE48" s="17">
        <v>0.96131890245710316</v>
      </c>
      <c r="AF48" s="14">
        <v>0</v>
      </c>
      <c r="AG48" s="14">
        <v>0</v>
      </c>
      <c r="AH48" s="14" t="s">
        <v>328</v>
      </c>
      <c r="AI48" s="14">
        <v>0.99987871646890125</v>
      </c>
      <c r="AJ48" s="14">
        <v>2.0723754798487927E-4</v>
      </c>
      <c r="AK48" s="14" t="s">
        <v>331</v>
      </c>
      <c r="AL48" s="14"/>
      <c r="AM48" s="14"/>
      <c r="AN48" s="14" t="s">
        <v>306</v>
      </c>
      <c r="AO48" s="14" t="s">
        <v>310</v>
      </c>
      <c r="AP48" s="14" t="s">
        <v>329</v>
      </c>
      <c r="AQ48" s="14"/>
      <c r="AR48" s="14">
        <f t="shared" si="4"/>
        <v>0</v>
      </c>
      <c r="AS48" s="14">
        <f t="shared" si="5"/>
        <v>0</v>
      </c>
      <c r="AT48" s="14">
        <f t="shared" si="6"/>
        <v>0</v>
      </c>
      <c r="AU48" s="14">
        <f t="shared" si="7"/>
        <v>1.2454701106889843E-2</v>
      </c>
    </row>
    <row r="49" spans="1:47">
      <c r="A49" s="14" t="s">
        <v>49</v>
      </c>
      <c r="B49" s="14" t="s">
        <v>368</v>
      </c>
      <c r="C49" s="15" t="b">
        <v>1</v>
      </c>
      <c r="D49" s="15" t="b">
        <v>0</v>
      </c>
      <c r="E49" s="16">
        <v>0.4</v>
      </c>
      <c r="F49" s="16">
        <v>2.4</v>
      </c>
      <c r="G49" s="17">
        <v>4</v>
      </c>
      <c r="H49" s="17">
        <v>3.3091805987371492</v>
      </c>
      <c r="I49" s="17">
        <v>-0.6908194012628508</v>
      </c>
      <c r="J49" s="17">
        <v>0.2</v>
      </c>
      <c r="K49" s="17">
        <v>0.8</v>
      </c>
      <c r="L49" s="17">
        <v>0.76793731961638823</v>
      </c>
      <c r="M49" s="17">
        <v>0.77055268226924145</v>
      </c>
      <c r="N49" s="18">
        <v>0.25921626680241361</v>
      </c>
      <c r="O49" s="17">
        <v>7.1179622780919525</v>
      </c>
      <c r="P49" s="17">
        <v>7.117962278091948</v>
      </c>
      <c r="Q49" s="14" t="s">
        <v>304</v>
      </c>
      <c r="R49" s="14">
        <v>0.75794142364362294</v>
      </c>
      <c r="S49" s="17">
        <v>1</v>
      </c>
      <c r="T49" s="17">
        <v>70.000000000000014</v>
      </c>
      <c r="U49" s="17">
        <v>101.32500000000002</v>
      </c>
      <c r="V49" s="17">
        <v>227.14112055233846</v>
      </c>
      <c r="W49" s="17">
        <v>223.7184465943869</v>
      </c>
      <c r="X49" s="17">
        <v>223.71844659438693</v>
      </c>
      <c r="Y49" s="17">
        <v>171.32499999999999</v>
      </c>
      <c r="Z49" s="17">
        <v>171.32500000000007</v>
      </c>
      <c r="AA49" s="14">
        <v>0.87675512200348227</v>
      </c>
      <c r="AB49" s="17">
        <v>13.991033155315497</v>
      </c>
      <c r="AC49" s="19">
        <v>47.162427648061225</v>
      </c>
      <c r="AD49" s="19">
        <v>-1.0615438585343355</v>
      </c>
      <c r="AE49" s="17">
        <v>1.0550221453067736</v>
      </c>
      <c r="AF49" s="14">
        <v>4.2137131104630789E-7</v>
      </c>
      <c r="AG49" s="14">
        <v>2.5282278662778473E-5</v>
      </c>
      <c r="AH49" s="14" t="s">
        <v>331</v>
      </c>
      <c r="AI49" s="14">
        <v>1.0007069976138716</v>
      </c>
      <c r="AJ49" s="14">
        <v>3.8087242817734572E-4</v>
      </c>
      <c r="AK49" s="14" t="s">
        <v>331</v>
      </c>
      <c r="AL49" s="14"/>
      <c r="AM49" s="14"/>
      <c r="AN49" s="14" t="s">
        <v>306</v>
      </c>
      <c r="AO49" s="14" t="s">
        <v>354</v>
      </c>
      <c r="AP49" s="14" t="s">
        <v>337</v>
      </c>
      <c r="AQ49" s="14"/>
      <c r="AR49" s="14">
        <f t="shared" si="4"/>
        <v>5.5022145306773629</v>
      </c>
      <c r="AS49" s="14">
        <f t="shared" si="5"/>
        <v>0.42137131104630787</v>
      </c>
      <c r="AT49" s="14">
        <f t="shared" si="6"/>
        <v>25.282278662778474</v>
      </c>
      <c r="AU49" s="14">
        <f t="shared" si="7"/>
        <v>8.5265128291212022E-11</v>
      </c>
    </row>
    <row r="50" spans="1:47">
      <c r="A50" s="14" t="s">
        <v>49</v>
      </c>
      <c r="B50" s="14" t="s">
        <v>369</v>
      </c>
      <c r="C50" s="15" t="b">
        <v>1</v>
      </c>
      <c r="D50" s="15" t="b">
        <v>0</v>
      </c>
      <c r="E50" s="16">
        <v>0.4</v>
      </c>
      <c r="F50" s="16">
        <v>2.4</v>
      </c>
      <c r="G50" s="17">
        <v>8</v>
      </c>
      <c r="H50" s="17">
        <v>3.3091828780806836</v>
      </c>
      <c r="I50" s="17">
        <v>-4.6908171219193164</v>
      </c>
      <c r="J50" s="17">
        <v>0.4</v>
      </c>
      <c r="K50" s="17">
        <v>0.88888888888888884</v>
      </c>
      <c r="L50" s="17">
        <v>0.76793744236601025</v>
      </c>
      <c r="M50" s="17">
        <v>0.77055328030995707</v>
      </c>
      <c r="N50" s="18">
        <v>0.25921644534900667</v>
      </c>
      <c r="O50" s="17">
        <v>7.1179637119628127</v>
      </c>
      <c r="P50" s="17">
        <v>7.1179637119628083</v>
      </c>
      <c r="Q50" s="14" t="s">
        <v>304</v>
      </c>
      <c r="R50" s="14">
        <v>0.75794159247159576</v>
      </c>
      <c r="S50" s="17">
        <v>1</v>
      </c>
      <c r="T50" s="17">
        <v>70.000000000000014</v>
      </c>
      <c r="U50" s="17">
        <v>101.32500000000002</v>
      </c>
      <c r="V50" s="17">
        <v>227.14111642000017</v>
      </c>
      <c r="W50" s="17">
        <v>223.71843884119966</v>
      </c>
      <c r="X50" s="17">
        <v>223.71843884119966</v>
      </c>
      <c r="Y50" s="17">
        <v>171.32499999999999</v>
      </c>
      <c r="Z50" s="17">
        <v>171.32500000000005</v>
      </c>
      <c r="AA50" s="14">
        <v>0.87681120818660552</v>
      </c>
      <c r="AB50" s="17">
        <v>13.991968497122871</v>
      </c>
      <c r="AC50" s="19">
        <v>47.181516947103376</v>
      </c>
      <c r="AD50" s="19">
        <v>-1.043582436896429</v>
      </c>
      <c r="AE50" s="17">
        <v>1.0540624454864331</v>
      </c>
      <c r="AF50" s="14">
        <v>4.1451151022274314E-7</v>
      </c>
      <c r="AG50" s="14">
        <v>2.4870690613364589E-5</v>
      </c>
      <c r="AH50" s="14" t="s">
        <v>331</v>
      </c>
      <c r="AI50" s="14">
        <v>1.0007073169462237</v>
      </c>
      <c r="AJ50" s="14">
        <v>3.8108081676592486E-4</v>
      </c>
      <c r="AK50" s="14" t="s">
        <v>331</v>
      </c>
      <c r="AL50" s="14"/>
      <c r="AM50" s="14"/>
      <c r="AN50" s="14" t="s">
        <v>306</v>
      </c>
      <c r="AO50" s="14" t="s">
        <v>354</v>
      </c>
      <c r="AP50" s="14" t="s">
        <v>337</v>
      </c>
      <c r="AQ50" s="14"/>
      <c r="AR50" s="14">
        <f t="shared" si="4"/>
        <v>5.4062445486433131</v>
      </c>
      <c r="AS50" s="14">
        <f t="shared" si="5"/>
        <v>0.41451151022274313</v>
      </c>
      <c r="AT50" s="14">
        <f t="shared" si="6"/>
        <v>24.870690613364587</v>
      </c>
      <c r="AU50" s="14">
        <f t="shared" si="7"/>
        <v>5.6843418860808015E-11</v>
      </c>
    </row>
    <row r="51" spans="1:47">
      <c r="A51" s="14" t="s">
        <v>49</v>
      </c>
      <c r="B51" s="14" t="s">
        <v>370</v>
      </c>
      <c r="C51" s="15" t="b">
        <v>1</v>
      </c>
      <c r="D51" s="15" t="b">
        <v>1</v>
      </c>
      <c r="E51" s="16">
        <v>1</v>
      </c>
      <c r="F51" s="16">
        <v>1.8</v>
      </c>
      <c r="G51" s="17">
        <v>0</v>
      </c>
      <c r="H51" s="17">
        <v>2.4482533873728843E-7</v>
      </c>
      <c r="I51" s="17">
        <v>2.4482533873728843E-7</v>
      </c>
      <c r="J51" s="17">
        <v>5.0000000000000001E-3</v>
      </c>
      <c r="K51" s="17">
        <v>0</v>
      </c>
      <c r="L51" s="17">
        <v>2.4482527879785668E-7</v>
      </c>
      <c r="M51" s="17">
        <v>2.4363393462436032E-7</v>
      </c>
      <c r="N51" s="18">
        <v>3.5958322101512968E-8</v>
      </c>
      <c r="O51" s="17">
        <v>1.798931822032855</v>
      </c>
      <c r="P51" s="17">
        <v>1.7989318220328547</v>
      </c>
      <c r="Q51" s="14" t="s">
        <v>304</v>
      </c>
      <c r="R51" s="14">
        <v>0.70907325003028154</v>
      </c>
      <c r="S51" s="17">
        <v>9.9999999999999982E-8</v>
      </c>
      <c r="T51" s="17">
        <v>129.99999999999997</v>
      </c>
      <c r="U51" s="17">
        <v>101.32500000000003</v>
      </c>
      <c r="V51" s="17">
        <v>247.20534892626998</v>
      </c>
      <c r="W51" s="17">
        <v>246.55734109589798</v>
      </c>
      <c r="X51" s="17">
        <v>246.55734109589798</v>
      </c>
      <c r="Y51" s="17">
        <v>231.32499999999999</v>
      </c>
      <c r="Z51" s="17">
        <v>231.32500000000005</v>
      </c>
      <c r="AA51" s="14">
        <v>7.235350944522026E-2</v>
      </c>
      <c r="AB51" s="17">
        <v>21.278183166873536</v>
      </c>
      <c r="AC51" s="19">
        <v>18.172544033839131</v>
      </c>
      <c r="AD51" s="19">
        <v>8.9002435702453937</v>
      </c>
      <c r="AE51" s="17">
        <v>0.56042279475491685</v>
      </c>
      <c r="AF51" s="14">
        <v>0</v>
      </c>
      <c r="AG51" s="14">
        <v>0</v>
      </c>
      <c r="AH51" s="14" t="s">
        <v>305</v>
      </c>
      <c r="AI51" s="14">
        <v>1.0000398963074466</v>
      </c>
      <c r="AJ51" s="14">
        <v>4.7390990847949362E-4</v>
      </c>
      <c r="AK51" s="14" t="s">
        <v>331</v>
      </c>
      <c r="AL51" s="14"/>
      <c r="AM51" s="14"/>
      <c r="AN51" s="14" t="s">
        <v>306</v>
      </c>
      <c r="AO51" s="14" t="s">
        <v>307</v>
      </c>
      <c r="AP51" s="14" t="s">
        <v>308</v>
      </c>
      <c r="AQ51" s="14"/>
      <c r="AR51" s="14">
        <f t="shared" si="4"/>
        <v>0</v>
      </c>
      <c r="AS51" s="14">
        <f t="shared" si="5"/>
        <v>0</v>
      </c>
      <c r="AT51" s="14">
        <f t="shared" si="6"/>
        <v>0</v>
      </c>
      <c r="AU51" s="14">
        <f t="shared" si="7"/>
        <v>5.6843418860808015E-11</v>
      </c>
    </row>
    <row r="52" spans="1:47">
      <c r="A52" s="14" t="s">
        <v>49</v>
      </c>
      <c r="B52" s="14" t="s">
        <v>371</v>
      </c>
      <c r="C52" s="15" t="b">
        <v>1</v>
      </c>
      <c r="D52" s="15" t="b">
        <v>1</v>
      </c>
      <c r="E52" s="16">
        <v>1</v>
      </c>
      <c r="F52" s="16">
        <v>1.8</v>
      </c>
      <c r="G52" s="17">
        <v>0.1</v>
      </c>
      <c r="H52" s="17">
        <v>9.9999999999975983E-2</v>
      </c>
      <c r="I52" s="17">
        <v>-2.4022450695326825E-14</v>
      </c>
      <c r="J52" s="17">
        <v>5.000000000000001E-3</v>
      </c>
      <c r="K52" s="17">
        <v>9.0909090909090912E-2</v>
      </c>
      <c r="L52" s="17">
        <v>9.0909090909071066E-2</v>
      </c>
      <c r="M52" s="17">
        <v>9.0539760678287312E-2</v>
      </c>
      <c r="N52" s="18">
        <v>1.4687336812015872E-2</v>
      </c>
      <c r="O52" s="17">
        <v>1.8784745560793561</v>
      </c>
      <c r="P52" s="17">
        <v>1.8784745560793068</v>
      </c>
      <c r="Q52" s="14" t="s">
        <v>304</v>
      </c>
      <c r="R52" s="14">
        <v>0.70904529408989836</v>
      </c>
      <c r="S52" s="17">
        <v>4.3985107407172493E-2</v>
      </c>
      <c r="T52" s="17">
        <v>130</v>
      </c>
      <c r="U52" s="17">
        <v>101.32500000000002</v>
      </c>
      <c r="V52" s="17">
        <v>249.3732694349417</v>
      </c>
      <c r="W52" s="17">
        <v>248.58918086911802</v>
      </c>
      <c r="X52" s="17">
        <v>248.58918086911811</v>
      </c>
      <c r="Y52" s="17">
        <v>231.32499999999999</v>
      </c>
      <c r="Z52" s="17">
        <v>231.32500000000002</v>
      </c>
      <c r="AA52" s="14">
        <v>0.1951483822188412</v>
      </c>
      <c r="AB52" s="17">
        <v>20.02790251512403</v>
      </c>
      <c r="AC52" s="19">
        <v>23.968180625594755</v>
      </c>
      <c r="AD52" s="19">
        <v>-0.8771167670437876</v>
      </c>
      <c r="AE52" s="17">
        <v>1.0539278780068573</v>
      </c>
      <c r="AF52" s="14">
        <v>1.1957378115517438E-7</v>
      </c>
      <c r="AG52" s="14">
        <v>7.1744268693104632E-6</v>
      </c>
      <c r="AH52" s="14" t="s">
        <v>331</v>
      </c>
      <c r="AI52" s="14">
        <v>1.0000565907508883</v>
      </c>
      <c r="AJ52" s="14">
        <v>5.3033544080295972E-4</v>
      </c>
      <c r="AK52" s="14" t="s">
        <v>331</v>
      </c>
      <c r="AL52" s="14"/>
      <c r="AM52" s="14"/>
      <c r="AN52" s="14" t="s">
        <v>306</v>
      </c>
      <c r="AO52" s="14" t="s">
        <v>310</v>
      </c>
      <c r="AP52" s="14" t="s">
        <v>337</v>
      </c>
      <c r="AQ52" s="14"/>
      <c r="AR52" s="14">
        <f t="shared" si="4"/>
        <v>5.3927878006857277</v>
      </c>
      <c r="AS52" s="14">
        <f t="shared" si="5"/>
        <v>0.11957378115517438</v>
      </c>
      <c r="AT52" s="14">
        <f t="shared" si="6"/>
        <v>7.1744268693104631</v>
      </c>
      <c r="AU52" s="14">
        <f t="shared" si="7"/>
        <v>2.8421709430404007E-11</v>
      </c>
    </row>
    <row r="53" spans="1:47">
      <c r="A53" s="14" t="s">
        <v>49</v>
      </c>
      <c r="B53" s="14" t="s">
        <v>372</v>
      </c>
      <c r="C53" s="15" t="b">
        <v>1</v>
      </c>
      <c r="D53" s="15" t="b">
        <v>1</v>
      </c>
      <c r="E53" s="16">
        <v>1</v>
      </c>
      <c r="F53" s="16">
        <v>1.8</v>
      </c>
      <c r="G53" s="17">
        <v>0.5</v>
      </c>
      <c r="H53" s="17">
        <v>0.50000001978716824</v>
      </c>
      <c r="I53" s="17">
        <v>1.9787168237250796E-8</v>
      </c>
      <c r="J53" s="17">
        <v>2.5000000000000001E-2</v>
      </c>
      <c r="K53" s="17">
        <v>0.33333333333333331</v>
      </c>
      <c r="L53" s="17">
        <v>0.33333334212762911</v>
      </c>
      <c r="M53" s="17">
        <v>0.33272350653349508</v>
      </c>
      <c r="N53" s="18">
        <v>7.3436686940436008E-2</v>
      </c>
      <c r="O53" s="17">
        <v>2.1973301712718296</v>
      </c>
      <c r="P53" s="17">
        <v>2.1973300919241674</v>
      </c>
      <c r="Q53" s="14" t="s">
        <v>304</v>
      </c>
      <c r="R53" s="14">
        <v>0.70892779534361683</v>
      </c>
      <c r="S53" s="17">
        <v>0.22179814171814266</v>
      </c>
      <c r="T53" s="17">
        <v>129.99999995418324</v>
      </c>
      <c r="U53" s="17">
        <v>101.32500000000002</v>
      </c>
      <c r="V53" s="17">
        <v>259.50767847102105</v>
      </c>
      <c r="W53" s="17">
        <v>258.0496646652141</v>
      </c>
      <c r="X53" s="17">
        <v>258.04966466521415</v>
      </c>
      <c r="Y53" s="17">
        <v>231.32499999999999</v>
      </c>
      <c r="Z53" s="17">
        <v>231.32499995418326</v>
      </c>
      <c r="AA53" s="14">
        <v>0.51798604825838956</v>
      </c>
      <c r="AB53" s="17">
        <v>16.804896461099446</v>
      </c>
      <c r="AC53" s="19">
        <v>37.802227629150877</v>
      </c>
      <c r="AD53" s="19">
        <v>-4.0935550157987848</v>
      </c>
      <c r="AE53" s="17">
        <v>1.2442662703684082</v>
      </c>
      <c r="AF53" s="14">
        <v>1.1480965635082623E-6</v>
      </c>
      <c r="AG53" s="14">
        <v>6.8885793810495745E-5</v>
      </c>
      <c r="AH53" s="14" t="s">
        <v>331</v>
      </c>
      <c r="AI53" s="14">
        <v>1.0001851310441092</v>
      </c>
      <c r="AJ53" s="14">
        <v>7.7221329913865081E-4</v>
      </c>
      <c r="AK53" s="14" t="s">
        <v>331</v>
      </c>
      <c r="AL53" s="14"/>
      <c r="AM53" s="14"/>
      <c r="AN53" s="14" t="s">
        <v>306</v>
      </c>
      <c r="AO53" s="14" t="s">
        <v>310</v>
      </c>
      <c r="AP53" s="14" t="s">
        <v>337</v>
      </c>
      <c r="AQ53" s="14"/>
      <c r="AR53" s="14">
        <f t="shared" si="4"/>
        <v>24.42662703684082</v>
      </c>
      <c r="AS53" s="14">
        <f t="shared" si="5"/>
        <v>1.1480965635082623</v>
      </c>
      <c r="AT53" s="14">
        <f t="shared" si="6"/>
        <v>68.885793810495741</v>
      </c>
      <c r="AU53" s="14">
        <f t="shared" si="7"/>
        <v>-4.5816733518222463E-5</v>
      </c>
    </row>
    <row r="54" spans="1:47">
      <c r="A54" s="14" t="s">
        <v>49</v>
      </c>
      <c r="B54" s="14" t="s">
        <v>373</v>
      </c>
      <c r="C54" s="15" t="b">
        <v>1</v>
      </c>
      <c r="D54" s="15" t="b">
        <v>1</v>
      </c>
      <c r="E54" s="16">
        <v>1</v>
      </c>
      <c r="F54" s="16">
        <v>1.8</v>
      </c>
      <c r="G54" s="17">
        <v>1</v>
      </c>
      <c r="H54" s="17">
        <v>0.9999821687336925</v>
      </c>
      <c r="I54" s="17">
        <v>-1.783126630749976E-5</v>
      </c>
      <c r="J54" s="17">
        <v>0.05</v>
      </c>
      <c r="K54" s="17">
        <v>0.5</v>
      </c>
      <c r="L54" s="17">
        <v>0.49999554213893482</v>
      </c>
      <c r="M54" s="17">
        <v>0.49994659904011068</v>
      </c>
      <c r="N54" s="18">
        <v>0.14687073517032712</v>
      </c>
      <c r="O54" s="17">
        <v>2.59773440053731</v>
      </c>
      <c r="P54" s="17">
        <v>2.597723946337799</v>
      </c>
      <c r="Q54" s="14" t="s">
        <v>304</v>
      </c>
      <c r="R54" s="14">
        <v>0.70879826520056721</v>
      </c>
      <c r="S54" s="17">
        <v>0.44572183087571859</v>
      </c>
      <c r="T54" s="17">
        <v>130.00000041908848</v>
      </c>
      <c r="U54" s="17">
        <v>101.32500000000002</v>
      </c>
      <c r="V54" s="17">
        <v>275.72898804003432</v>
      </c>
      <c r="W54" s="17">
        <v>273.13701220120117</v>
      </c>
      <c r="X54" s="17">
        <v>273.13701220120117</v>
      </c>
      <c r="Y54" s="17">
        <v>231.32499999999999</v>
      </c>
      <c r="Z54" s="17">
        <v>231.32500041908852</v>
      </c>
      <c r="AA54" s="14">
        <v>0.74512327536114509</v>
      </c>
      <c r="AB54" s="17">
        <v>14.687701405915854</v>
      </c>
      <c r="AC54" s="19">
        <v>44.772559917649119</v>
      </c>
      <c r="AD54" s="19">
        <v>-3.5389661688872138</v>
      </c>
      <c r="AE54" s="17">
        <v>1.1972665214877323</v>
      </c>
      <c r="AF54" s="14">
        <v>1.319971813332737E-6</v>
      </c>
      <c r="AG54" s="14">
        <v>7.919830879996422E-5</v>
      </c>
      <c r="AH54" s="14" t="s">
        <v>331</v>
      </c>
      <c r="AI54" s="14">
        <v>1.0005925693304214</v>
      </c>
      <c r="AJ54" s="14">
        <v>1.1239602641558641E-3</v>
      </c>
      <c r="AK54" s="14" t="s">
        <v>331</v>
      </c>
      <c r="AL54" s="14"/>
      <c r="AM54" s="14"/>
      <c r="AN54" s="14" t="s">
        <v>306</v>
      </c>
      <c r="AO54" s="14" t="s">
        <v>310</v>
      </c>
      <c r="AP54" s="14" t="s">
        <v>337</v>
      </c>
      <c r="AQ54" s="14"/>
      <c r="AR54" s="14">
        <f t="shared" si="4"/>
        <v>19.726652148773226</v>
      </c>
      <c r="AS54" s="14">
        <f t="shared" si="5"/>
        <v>1.3199718133327369</v>
      </c>
      <c r="AT54" s="14">
        <f t="shared" si="6"/>
        <v>79.198308799964224</v>
      </c>
      <c r="AU54" s="14">
        <f t="shared" si="7"/>
        <v>4.1908853631866805E-4</v>
      </c>
    </row>
    <row r="55" spans="1:47">
      <c r="A55" s="14" t="s">
        <v>49</v>
      </c>
      <c r="B55" s="14" t="s">
        <v>374</v>
      </c>
      <c r="C55" s="15" t="b">
        <v>1</v>
      </c>
      <c r="D55" s="15" t="b">
        <v>1</v>
      </c>
      <c r="E55" s="16">
        <v>1</v>
      </c>
      <c r="F55" s="16">
        <v>1.8</v>
      </c>
      <c r="G55" s="17">
        <v>2</v>
      </c>
      <c r="H55" s="17">
        <v>1.9944578415757428</v>
      </c>
      <c r="I55" s="17">
        <v>-5.5421584242572042E-3</v>
      </c>
      <c r="J55" s="17">
        <v>0.1</v>
      </c>
      <c r="K55" s="17">
        <v>0.66666666666666663</v>
      </c>
      <c r="L55" s="17">
        <v>0.66604969505364742</v>
      </c>
      <c r="M55" s="17">
        <v>0.66691940780945858</v>
      </c>
      <c r="N55" s="18">
        <v>0.29293004003295059</v>
      </c>
      <c r="O55" s="17">
        <v>3.4641141082835123</v>
      </c>
      <c r="P55" s="17">
        <v>3.462299489591417</v>
      </c>
      <c r="Q55" s="14" t="s">
        <v>304</v>
      </c>
      <c r="R55" s="14">
        <v>0.70971519110459025</v>
      </c>
      <c r="S55" s="17">
        <v>0.8739007835269027</v>
      </c>
      <c r="T55" s="17">
        <v>129.99990997302021</v>
      </c>
      <c r="U55" s="17">
        <v>101.32500000000002</v>
      </c>
      <c r="V55" s="17">
        <v>320.62655928857674</v>
      </c>
      <c r="W55" s="17">
        <v>314.81614643108651</v>
      </c>
      <c r="X55" s="17">
        <v>314.81614643108662</v>
      </c>
      <c r="Y55" s="17">
        <v>231.32499999999999</v>
      </c>
      <c r="Z55" s="17">
        <v>231.32490997302028</v>
      </c>
      <c r="AA55" s="14">
        <v>0.90643032283080271</v>
      </c>
      <c r="AB55" s="17">
        <v>12.917311460183843</v>
      </c>
      <c r="AC55" s="19">
        <v>44.044629153280994</v>
      </c>
      <c r="AD55" s="19">
        <v>-7.0364606734551103</v>
      </c>
      <c r="AE55" s="17">
        <v>1.4268185391619435</v>
      </c>
      <c r="AF55" s="14">
        <v>2.7564629118192622E-6</v>
      </c>
      <c r="AG55" s="14">
        <v>1.6538777470915573E-4</v>
      </c>
      <c r="AH55" s="14" t="s">
        <v>331</v>
      </c>
      <c r="AI55" s="14">
        <v>1.0011926173091925</v>
      </c>
      <c r="AJ55" s="14">
        <v>1.6501512571697318E-3</v>
      </c>
      <c r="AK55" s="14" t="s">
        <v>331</v>
      </c>
      <c r="AL55" s="14"/>
      <c r="AM55" s="14"/>
      <c r="AN55" s="14" t="s">
        <v>306</v>
      </c>
      <c r="AO55" s="14" t="s">
        <v>310</v>
      </c>
      <c r="AP55" s="14" t="s">
        <v>337</v>
      </c>
      <c r="AQ55" s="14"/>
      <c r="AR55" s="14">
        <f t="shared" si="4"/>
        <v>42.681853916194342</v>
      </c>
      <c r="AS55" s="14">
        <f t="shared" si="5"/>
        <v>2.7564629118192623</v>
      </c>
      <c r="AT55" s="14">
        <f t="shared" si="6"/>
        <v>165.38777470915574</v>
      </c>
      <c r="AU55" s="14">
        <f t="shared" si="7"/>
        <v>-9.0026979705726262E-2</v>
      </c>
    </row>
    <row r="56" spans="1:47">
      <c r="A56" s="14" t="s">
        <v>49</v>
      </c>
      <c r="B56" s="14" t="s">
        <v>375</v>
      </c>
      <c r="C56" s="15" t="b">
        <v>1</v>
      </c>
      <c r="D56" s="15" t="b">
        <v>0</v>
      </c>
      <c r="E56" s="16">
        <v>1</v>
      </c>
      <c r="F56" s="16">
        <v>1.8</v>
      </c>
      <c r="G56" s="17">
        <v>4</v>
      </c>
      <c r="H56" s="17">
        <v>2.3121555299525154</v>
      </c>
      <c r="I56" s="17">
        <v>-1.6878444700474846</v>
      </c>
      <c r="J56" s="17">
        <v>0.2</v>
      </c>
      <c r="K56" s="17">
        <v>0.8</v>
      </c>
      <c r="L56" s="17">
        <v>0.69808181078551701</v>
      </c>
      <c r="M56" s="17">
        <v>0.69901676330077256</v>
      </c>
      <c r="N56" s="18">
        <v>0.33959407030185818</v>
      </c>
      <c r="O56" s="17">
        <v>3.7707357098599994</v>
      </c>
      <c r="P56" s="17">
        <v>3.7707357098599972</v>
      </c>
      <c r="Q56" s="14" t="s">
        <v>304</v>
      </c>
      <c r="R56" s="14">
        <v>0.71036443499047219</v>
      </c>
      <c r="S56" s="17">
        <v>1</v>
      </c>
      <c r="T56" s="17">
        <v>130</v>
      </c>
      <c r="U56" s="17">
        <v>101.32500000000002</v>
      </c>
      <c r="V56" s="17">
        <v>338.64300233074147</v>
      </c>
      <c r="W56" s="17">
        <v>331.53414231839304</v>
      </c>
      <c r="X56" s="17">
        <v>331.53414231839309</v>
      </c>
      <c r="Y56" s="17">
        <v>231.32499999999999</v>
      </c>
      <c r="Z56" s="17">
        <v>231.32500000000005</v>
      </c>
      <c r="AA56" s="14">
        <v>0.9073731933004473</v>
      </c>
      <c r="AB56" s="17">
        <v>12.69655846621321</v>
      </c>
      <c r="AC56" s="19">
        <v>41.49325930487754</v>
      </c>
      <c r="AD56" s="19">
        <v>-9.1906801740720283</v>
      </c>
      <c r="AE56" s="17">
        <v>1.5986847067838221</v>
      </c>
      <c r="AF56" s="14">
        <v>3.3970590573523645E-6</v>
      </c>
      <c r="AG56" s="14">
        <v>2.0382354344114186E-4</v>
      </c>
      <c r="AH56" s="14" t="s">
        <v>331</v>
      </c>
      <c r="AI56" s="14">
        <v>1.0010973475877767</v>
      </c>
      <c r="AJ56" s="14">
        <v>1.7093360181761386E-3</v>
      </c>
      <c r="AK56" s="14" t="s">
        <v>331</v>
      </c>
      <c r="AL56" s="14"/>
      <c r="AM56" s="14"/>
      <c r="AN56" s="14" t="s">
        <v>306</v>
      </c>
      <c r="AO56" s="14" t="s">
        <v>354</v>
      </c>
      <c r="AP56" s="14" t="s">
        <v>337</v>
      </c>
      <c r="AQ56" s="14"/>
      <c r="AR56" s="14">
        <f t="shared" si="4"/>
        <v>59.868470678382209</v>
      </c>
      <c r="AS56" s="14">
        <f t="shared" si="5"/>
        <v>3.3970590573523647</v>
      </c>
      <c r="AT56" s="14">
        <f t="shared" si="6"/>
        <v>203.82354344114185</v>
      </c>
      <c r="AU56" s="14">
        <f t="shared" si="7"/>
        <v>5.6843418860808015E-11</v>
      </c>
    </row>
  </sheetData>
  <mergeCells count="2">
    <mergeCell ref="A1:AU1"/>
    <mergeCell ref="A2:AU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01_研究分析</vt:lpstr>
      <vt:lpstr>02_V-SH模型与控制</vt:lpstr>
      <vt:lpstr>03_变量测点与工程建议</vt:lpstr>
      <vt:lpstr>04_冷凝与水汽风险</vt:lpstr>
      <vt:lpstr>附录A_审计明细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俊樑 吴</cp:lastModifiedBy>
  <dcterms:modified xsi:type="dcterms:W3CDTF">2026-08-19T10:14:58Z</dcterms:modified>
</cp:coreProperties>
</file>