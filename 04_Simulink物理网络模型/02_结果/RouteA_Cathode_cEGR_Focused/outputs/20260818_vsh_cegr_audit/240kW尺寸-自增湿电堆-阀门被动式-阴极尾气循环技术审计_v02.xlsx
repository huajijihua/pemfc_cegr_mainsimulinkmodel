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7d9f581b247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研究分析" sheetId="1" r:id="R7b5a02f79ca84d91"/>
    <x:sheet xmlns:r="http://schemas.openxmlformats.org/officeDocument/2006/relationships" name="02_V-SH模型与控制" sheetId="2" r:id="Refc57b37be694ff2"/>
    <x:sheet xmlns:r="http://schemas.openxmlformats.org/officeDocument/2006/relationships" name="03_变量测点与工程建议" sheetId="3" r:id="R0c3f6ec372b8415c"/>
    <x:sheet xmlns:r="http://schemas.openxmlformats.org/officeDocument/2006/relationships" name="04_冷凝与水汽风险" sheetId="4" r:id="R7af1108d84ac4206"/>
    <x:sheet xmlns:r="http://schemas.openxmlformats.org/officeDocument/2006/relationships" name="附录A_审计明细" sheetId="5" r:id="R19b563fd203b4438"/>
  </x:sheets>
</x:workbook>
</file>

<file path=xl/sharedStrings.xml><?xml version="1.0" encoding="utf-8"?>
<x:sst xmlns:x="http://schemas.openxmlformats.org/spreadsheetml/2006/main">
  <x:si>
    <x:r>
      <x:t xml:space="preserve">240 kW V-SH </x:t>
    </x:r>
    <x:r>
      <x:rPr>
        <x:b/>
        <x:sz val="16"/>
        <x:color rgb="FFFFFFFF"/>
        <x:rFont val="微软雅黑"/>
        <x:family val="2"/>
      </x:rPr>
      <x:t xml:space="preserve">自增湿电堆阀门被动 cEGR 工程分析</x:t>
    </x:r>
  </x:si>
  <x:si>
    <x:t xml:space="preserve">240 kW V-SH 自增湿电堆阀门被动 cEGR 工程分析报告</x:t>
  </x:si>
  <x:si>
    <x:t xml:space="preserve">阀门被动式阴极尾气循环的自增湿电堆系统</x:t>
  </x:si>
  <x:si>
    <x:t xml:space="preserve">用途：为实验人员提供当前 V-SH 阀前理想分流结构、控制变量、测点布置和初步装置选型依据。结论来自当前拓扑 52 个 600 s 气相 case，其中 51 个完整完成，1 个高回流点因氧气耗尽物理不可行而中止。</x:t>
  </x:si>
  <x:si>
    <x:t xml:space="preserve">用途：为实验人员提供 V-SH 系统结构、控制变量、测点布置和初步装置选型依据。结论来自 52 个正式 600 s 气相筛选 case；不等同于阀件额定选型、液水耐久或整机效率验证。</x:t>
  </x:si>
  <x:si>
    <x:t xml:space="preserve">一、结论</x:t>
  </x:si>
  <x:si>
    <x:t xml:space="preserve">一、结论先行：实验装置设计应先抓住的 6 个判断</x:t>
  </x:si>
  <x:si>
    <x:t xml:space="preserve">判断</x:t>
  </x:si>
  <x:si>
    <x:t xml:space="preserve">解释</x:t>
  </x:si>
  <x:si>
    <x:t xml:space="preserve">基线结构</x:t>
  </x:si>
  <x:si>
    <x:t xml:space="preserve">R_EGR 的工程含义</x:t>
  </x:si>
  <x:si>
    <x:t xml:space="preserve">R_EGR = m_return / m_fresh，是回流质量流量相对新鲜空气质量流量的比值，m_total =m_return+m_fresh；
控制器内部还使用 x_EGR = m_return / m_total = R_EGR/(1+R_EGR)。</x:t>
  </x:si>
  <x:si>
    <x:t xml:space="preserve">OER_ref 的工程含义</x:t>
  </x:si>
  <x:si>
    <x:t xml:space="preserve">OER_ref 是无 cEGR 基准工况下参考氧过量系数，只用来锚定参考新鲜空气流量，并非空压机流量命令。</x:t>
  </x:si>
  <x:si>
    <x:t xml:space="preserve">优先研究窗口</x:t>
  </x:si>
  <x:si>
    <x:t xml:space="preserve">高负荷限制</x:t>
  </x:si>
  <x:si>
    <x:t xml:space="preserve">高负荷 j=0.4 和 1.0 A/cm²：回流压差明显提高，阀面积需求降低；但高回流仍受 OER、混合器过饱和、冷凝和阀面积边界限制。</x:t>
  </x:si>
  <x:si>
    <x:t xml:space="preserve">选型边界</x:t>
  </x:si>
  <x:si>
    <x:t xml:space="preserve">二、研究矩阵设计与关键结果</x:t>
  </x:si>
  <x:si>
    <x:t xml:space="preserve">进气策略</x:t>
  </x:si>
  <x:si>
    <x:t xml:space="preserve">电流密度负荷 j</x:t>
  </x:si>
  <x:si>
    <x:t xml:space="preserve">目标 R_EGR</x:t>
  </x:si>
  <x:si>
    <x:t xml:space="preserve">目标 R_EGR 怎么扫</x:t>
  </x:si>
  <x:si>
    <x:t xml:space="preserve">直接筛选通过的实际 R_EGR 点</x:t>
  </x:si>
  <x:si>
    <x:t xml:space="preserve">主要边界/限制</x:t>
  </x:si>
  <x:si>
    <x:t xml:space="preserve">结论</x:t>
  </x:si>
  <x:si>
    <x:t xml:space="preserve">给实验人员的结论</x:t>
  </x:si>
  <x:si>
    <x:t xml:space="preserve">总流量不变</x:t>
  </x:si>
  <x:si>
    <x:t xml:space="preserve">0、0.4、1、2、3、4</x:t>
  </x:si>
  <x:si>
    <x:t xml:space="preserve">0、0.4、1、2、3</x:t>
  </x:si>
  <x:si>
    <x:t xml:space="preserve">完成 5/6；max S=0.75；min OER=2.127；max阀面积=0.154；max Δp_EGR=40 kPa；R=4 氧气耗尽</x:t>
  </x:si>
  <x:si>
    <x:t xml:space="preserve">R=4 时实际 OER_min≈1.00；阀面积≈0.95；无混合器冷凝。</x:t>
  </x:si>
  <x:si>
    <x:t xml:space="preserve">当前窗口需排除氧气耗尽点，其余工况按气相筛选结果解释。</x:t>
  </x:si>
  <x:si>
    <x:t xml:space="preserve">低负荷优先做总流量不变，可把研究窗口推进到 R_EGR≈3。</x:t>
  </x:si>
  <x:si>
    <x:t xml:space="preserve">0、0.26、0.65、1.3、1.95、2.6</x:t>
  </x:si>
  <x:si>
    <x:t xml:space="preserve">0、0.26</x:t>
  </x:si>
  <x:si>
    <x:t xml:space="preserve">0、0.26、1.95</x:t>
  </x:si>
  <x:si>
    <x:t xml:space="preserve">完成 6/6；max S=0.966；min OER=1.116；max阀面积=0.187；max Δp_EGR=55 kPa</x:t>
  </x:si>
  <x:si>
    <x:t xml:space="preserve">部分点露点裕度约 0.9–1.1°C，需要温湿度复核；阀面积最高≈0.98。</x:t>
  </x:si>
  <x:si>
    <x:t xml:space="preserve">按当前气相筛选结果解释，仍不等同于阀件额定选型或液水耐久验证。</x:t>
  </x:si>
  <x:si>
    <x:t xml:space="preserve">仍有回流窗口，但不能只看 R_EGR；必须同步看温度、湿度和露点裕度。</x:t>
  </x:si>
  <x:si>
    <x:t xml:space="preserve">0、0.14、0.35、0.7、1.05、1.4</x:t>
  </x:si>
  <x:si>
    <x:t xml:space="preserve">0</x:t>
  </x:si>
  <x:si>
    <x:t xml:space="preserve">完成 6/6；max S=1.153；min OER=1.08；max阀面积=0.188；max Δp_EGR=70 kPa</x:t>
  </x:si>
  <x:si>
    <x:t xml:space="preserve">R≥0.35 出现混合器冷凝；冷凝积分最高约 50.9 mg。</x:t>
  </x:si>
  <x:si>
    <x:t xml:space="preserve">当前模型下以无回流或极低回流为主，先解决热湿管理。</x:t>
  </x:si>
  <x:si>
    <x:t xml:space="preserve">0、0.08、0.2、0.4、0.6、0.8</x:t>
  </x:si>
  <x:si>
    <x:t xml:space="preserve">完成 6/6；max S=1.285；min OER=1.01；max阀面积=0.206；max Δp_EGR=130 kPa</x:t>
  </x:si>
  <x:si>
    <x:t xml:space="preserve">R≥0.20 出现混合器冷凝；冷凝积分最高约 65.2 mg。</x:t>
  </x:si>
  <x:si>
    <x:t xml:space="preserve">当前不支持高回流，建议先做无 cEGR 基线验证。</x:t>
  </x:si>
  <x:si>
    <x:t xml:space="preserve">新鲜空气不变</x:t>
  </x:si>
  <x:si>
    <x:t xml:space="preserve">0、0.1、0.5、1、2、4、8</x:t>
  </x:si>
  <x:si>
    <x:t xml:space="preserve">0、0.1、0.5、1、2、3.97</x:t>
  </x:si>
  <x:si>
    <x:t xml:space="preserve">0、0.1、0.5、1</x:t>
  </x:si>
  <x:si>
    <x:t xml:space="preserve">完成 7/7；max S=0.633；min OER=4.997；max阀面积=1；max Δp_EGR=40 kPa</x:t>
  </x:si>
  <x:si>
    <x:t xml:space="preserve">目标 R&gt;1 后阀面积达到 1；实际回流在约 1.48 附近平台化，需做跟踪复核。</x:t>
  </x:si>
  <x:si>
    <x:t xml:space="preserve">可研究到 R_EGR≈1；更高目标主要是在考察阀容量上限。</x:t>
  </x:si>
  <x:si>
    <x:t xml:space="preserve">0、0.1、0.5、1、2、3.94</x:t>
  </x:si>
  <x:si>
    <x:t xml:space="preserve">完成 7/7；max S=0.788；min OER=3.598；max阀面积=1；max Δp_EGR=55 kPa</x:t>
  </x:si>
  <x:si>
    <x:t xml:space="preserve">目标 R&gt;1 后阀面积达到 1；实际回流在约 1.13 附近平台化。</x:t>
  </x:si>
  <x:si>
    <x:t xml:space="preserve">可研究到 R_EGR≈1；R&gt;1 很快进入阀容量边界。</x:t>
  </x:si>
  <x:si>
    <x:t xml:space="preserve">0、0.1</x:t>
  </x:si>
  <x:si>
    <x:t xml:space="preserve">完成 7/7；max S=1.057；min OER=2.399；max阀面积=1；max Δp_EGR=70 kPa</x:t>
  </x:si>
  <x:si>
    <x:t xml:space="preserve">R=0.5 开始出现混合器冷凝；目标 R≥1 后实际回流约 0.91 平台化。</x:t>
  </x:si>
  <x:si>
    <x:t xml:space="preserve">建议只把 R≤0.1 作为起步点，后续另做冷凝与阀容量专项。</x:t>
  </x:si>
  <x:si>
    <x:t xml:space="preserve">完成 7/7；max S=1.599；min OER=1.799；max阀面积=1；max Δp_EGR=130 kPa</x:t>
  </x:si>
  <x:si>
    <x:t xml:space="preserve">R=0.5 开始出现混合器冷凝；目标 R≥1 后实际回流约 0.58 平台化。</x:t>
  </x:si>
  <x:si>
    <x:t xml:space="preserve">先做 R=0 基线，高回流不作为当前推荐工况。</x:t>
  </x:si>
  <x:si>
    <x:t xml:space="preserve">三、系统结构和控制</x:t>
  </x:si>
  <x:si>
    <x:t xml:space="preserve">三、对系统结构和控制的直接建议</x:t>
  </x:si>
  <x:si>
    <x:t xml:space="preserve">主题</x:t>
  </x:si>
  <x:si>
    <x:t xml:space="preserve">控制</x:t>
  </x:si>
  <x:si>
    <x:t xml:space="preserve">控制回路</x:t>
  </x:si>
  <x:si>
    <x:t xml:space="preserve">系统硬件</x:t>
  </x:si>
  <x:si>
    <x:t xml:space="preserve">阴极公共背压调节阀 +cEGR 二通比例调节阀</x:t>
  </x:si>
  <x:si>
    <x:t xml:space="preserve">测点优先级</x:t>
  </x:si>
  <x:si>
    <x:t xml:space="preserve">冷凝措施</x:t>
  </x:si>
  <x:si>
    <x:t xml:space="preserve">优先通过降低回流、提高回流/混合点温度、降低入口湿度或设置液水分离/排液边界降低风险；当前 L2 结果不代表液滴携带和压缩机耐液能力。</x:t>
  </x:si>
  <x:si>
    <x:t xml:space="preserve">V-SH 模型结构、阀门角色与控制逻辑</x:t>
  </x:si>
  <x:si>
    <x:t xml:space="preserve">一、当前正式模型的气路拓扑</x:t>
  </x:si>
  <x:si>
    <x:t xml:space="preserve">当前基线与后续 W3A 变体分开理解：前者用于本轮 CEGR 工况矩阵，后者作为后续模型重构项。</x:t>
  </x:si>
  <x:si>
    <x:t xml:space="preserve">项目</x:t>
  </x:si>
  <x:si>
    <x:t xml:space="preserve">说明</x:t>
  </x:si>
  <x:si>
    <x:t xml:space="preserve">气路示意</x:t>
  </x:si>
  <x:si>
    <x:t xml:space="preserve">分流节点的物理含义</x:t>
  </x:si>
  <x:si>
    <x:t xml:space="preserve">压力口径</x:t>
  </x:si>
  <x:si>
    <x:t xml:space="preserve">二、阀门和控制器的职责分工</x:t>
  </x:si>
  <x:si>
    <x:t xml:space="preserve">功能</x:t>
  </x:si>
  <x:si>
    <x:t xml:space="preserve">在系统中的作用</x:t>
  </x:si>
  <x:si>
    <x:t xml:space="preserve">选型要点</x:t>
  </x:si>
  <x:si>
    <x:t xml:space="preserve">公共背压阀</x:t>
  </x:si>
  <x:si>
    <x:t xml:space="preserve">大流量、连续调节、可测阀前/后压力；正常控制执行器。</x:t>
  </x:si>
  <x:si>
    <x:t xml:space="preserve">cEGR 阀</x:t>
  </x:si>
  <x:si>
    <x:t xml:space="preserve">二通比例气体阀，湿气相兼容、低泄漏、带位置反馈；需要 Kv/Cv 或质量流量图。</x:t>
  </x:si>
  <x:si>
    <x:t xml:space="preserve">三、控制变量和约束逻辑</x:t>
  </x:si>
  <x:si>
    <x:t xml:space="preserve">环节</x:t>
  </x:si>
  <x:si>
    <x:t xml:space="preserve">控制关系</x:t>
  </x:si>
  <x:si>
    <x:t xml:space="preserve">实验解释</x:t>
  </x:si>
  <x:si>
    <x:t xml:space="preserve">公共背压环</x:t>
  </x:si>
  <x:si>
    <x:t xml:space="preserve">cEGR 回流环</x:t>
  </x:si>
  <x:si>
    <x:t xml:space="preserve">监督限制器</x:t>
  </x:si>
  <x:si>
    <x:t xml:space="preserve">限制器不是物理泵；它只保护可行域和数值稳定性。</x:t>
  </x:si>
  <x:si>
    <x:t xml:space="preserve">控制模式差异</x:t>
  </x:si>
  <x:si>
    <x:t xml:space="preserve">总流量不变：m_total 固定，m_fresh 与 m_return 此消彼长；新鲜空气不变：m_fresh 固定，m_total 随回流增加。</x:t>
  </x:si>
  <x:si>
    <x:t xml:space="preserve">两种模式的 OER 语义必须分开写，OER_ref 只做基准锚点。</x:t>
  </x:si>
  <x:si>
    <x:t xml:space="preserve">四、模型边界提醒</x:t>
  </x:si>
  <x:si>
    <x:t xml:space="preserve">五、模型边界提醒</x:t>
  </x:si>
  <x:si>
    <x:t xml:space="preserve">边界</x:t>
  </x:si>
  <x:si>
    <x:t xml:space="preserve">有效面积</x:t>
  </x:si>
  <x:si>
    <x:t xml:space="preserve">A_eff/A_fraction 是等效流阻参数，不直接等于真实阀门开度、DN 或 Cv/Kv。</x:t>
  </x:si>
  <x:si>
    <x:t xml:space="preserve">气相水</x:t>
  </x:si>
  <x:si>
    <x:t xml:space="preserve">当前仅判断饱和度、露点和相变需求，不包含液水库存、液滴携带、排水和压缩机耐液。</x:t>
  </x:si>
  <x:si>
    <x:t xml:space="preserve">压力测量</x:t>
  </x:si>
  <x:si>
    <x:t xml:space="preserve">BOP设备和子系统</x:t>
  </x:si>
  <x:si>
    <x:t xml:space="preserve">1.空压机当前采用“压缩机地图 + 质量流量源 + 压缩机容积”的集总等效模型，通过转速、修正流量和压力比描述气路响应，不考虑其功率。2.阴极出口采用理想分流，管路采用集总化 Pipe/Flow Resistance，可表达一阶压降趋势。3.阳极供氢和热管理采用边界或简化子系统，保证工况条件正确输入即可。</x:t>
  </x:si>
  <x:si>
    <x:t xml:space="preserve">模型中的变量英文注释、测量位置与工程装置</x:t>
  </x:si>
  <x:si>
    <x:t xml:space="preserve">变量英文注释、测量位置与工程装置建议</x:t>
  </x:si>
  <x:si>
    <x:t xml:space="preserve">变量名采用模型/结果中的英文语义，测量位置按气路节点给出</x:t>
  </x:si>
  <x:si>
    <x:t xml:space="preserve">本页面向实验人员：变量名采用模型/结果中的英文语义，测量位置按气路节点给出；“建议精度”是试验仪表规划的起始建议，不是最终校准证书要求。</x:t>
  </x:si>
  <x:si>
    <x:t xml:space="preserve">一、变量与测点字典</x:t>
  </x:si>
  <x:si>
    <x:t xml:space="preserve">变量</x:t>
  </x:si>
  <x:si>
    <x:t xml:space="preserve">定义/公式</x:t>
  </x:si>
  <x:si>
    <x:t xml:space="preserve">单位</x:t>
  </x:si>
  <x:si>
    <x:t xml:space="preserve">测量位置</x:t>
  </x:si>
  <x:si>
    <x:t xml:space="preserve">工程用途</x:t>
  </x:si>
  <x:si>
    <x:t xml:space="preserve">R_EGR</x:t>
  </x:si>
  <x:si>
    <x:t xml:space="preserve">m_return / m_fresh</x:t>
  </x:si>
  <x:si>
    <x:t xml:space="preserve">—</x:t>
  </x:si>
  <x:si>
    <x:t xml:space="preserve">空压机入口混合器质量流量测点或结果后处理</x:t>
  </x:si>
  <x:si>
    <x:t xml:space="preserve">主控制/报告变量；不要写成 OER 命令</x:t>
  </x:si>
  <x:si>
    <x:t xml:space="preserve">x_EGR</x:t>
  </x:si>
  <x:si>
    <x:t xml:space="preserve">m_return / m_total = R/(1+R)</x:t>
  </x:si>
  <x:si>
    <x:t xml:space="preserve">空压机入口混合器入口/出口</x:t>
  </x:si>
  <x:si>
    <x:t xml:space="preserve">控制器混合基变量；用于换算 R_EGR</x:t>
  </x:si>
  <x:si>
    <x:t xml:space="preserve">OER_ref</x:t>
  </x:si>
  <x:si>
    <x:t xml:space="preserve">无 cEGR 基准工况 OER</x:t>
  </x:si>
  <x:si>
    <x:t xml:space="preserve">无 cEGR 参考 case 的空压机/入堆流量锚点</x:t>
  </x:si>
  <x:si>
    <x:t xml:space="preserve">只确定参考新鲜空气流量</x:t>
  </x:si>
  <x:si>
    <x:t xml:space="preserve">OER_actual</x:t>
  </x:si>
  <x:si>
    <x:t xml:space="preserve">入堆实际尾窗 OER 的均值/最小值</x:t>
  </x:si>
  <x:si>
    <x:t xml:space="preserve">阴极入口/电堆入口后的气体观测链</x:t>
  </x:si>
  <x:si>
    <x:t xml:space="preserve">筛选约束；&lt;1 不可取，1–1.2 风险</x:t>
  </x:si>
  <x:si>
    <x:t xml:space="preserve">m_fresh</x:t>
  </x:si>
  <x:si>
    <x:t xml:space="preserve">新鲜空气质量流量</x:t>
  </x:si>
  <x:si>
    <x:t xml:space="preserve">kg/s</x:t>
  </x:si>
  <x:si>
    <x:t xml:space="preserve">空压机入口新鲜空气支路</x:t>
  </x:si>
  <x:si>
    <x:t xml:space="preserve">两种流量控制策略的区分量</x:t>
  </x:si>
  <x:si>
    <x:t xml:space="preserve">m_return</x:t>
  </x:si>
  <x:si>
    <x:t xml:space="preserve">cEGR 回流质量流量</x:t>
  </x:si>
  <x:si>
    <x:t xml:space="preserve">cEGR 回流支路质量流量传感器</x:t>
  </x:si>
  <x:si>
    <x:t xml:space="preserve">回流能力和闭合量</x:t>
  </x:si>
  <x:si>
    <x:t xml:space="preserve">m_total</x:t>
  </x:si>
  <x:si>
    <x:t xml:space="preserve">m_fresh + m_return</x:t>
  </x:si>
  <x:si>
    <x:t xml:space="preserve">压缩机入口混合器/空压机入口</x:t>
  </x:si>
  <x:si>
    <x:t xml:space="preserve">新鲜空气不变模式下随回流增加</x:t>
  </x:si>
  <x:si>
    <x:t xml:space="preserve">p_stack,out</x:t>
  </x:si>
  <x:si>
    <x:t xml:space="preserve">kPa abs</x:t>
  </x:si>
  <x:si>
    <x:t xml:space="preserve">电堆阴极出口压力传感器</x:t>
  </x:si>
  <x:si>
    <x:t xml:space="preserve">公共背压环主反馈</x:t>
  </x:si>
  <x:si>
    <x:t xml:space="preserve">p_split</x:t>
  </x:si>
  <x:si>
    <x:t xml:space="preserve">三通/分流歧管处</x:t>
  </x:si>
  <x:si>
    <x:t xml:space="preserve">p_egr,up/down</x:t>
  </x:si>
  <x:si>
    <x:t xml:space="preserve">cEGR 阀两端 PT 传感器</x:t>
  </x:si>
  <x:si>
    <x:t xml:space="preserve">计算 Δp_valve</x:t>
  </x:si>
  <x:si>
    <x:t xml:space="preserve">Δp_valve</x:t>
  </x:si>
  <x:si>
    <x:t xml:space="preserve">kPa</x:t>
  </x:si>
  <x:si>
    <x:t xml:space="preserve">由阀两端 PT 读数计算</x:t>
  </x:si>
  <x:si>
    <x:t xml:space="preserve">正值是正向回流方向条件</x:t>
  </x:si>
  <x:si>
    <x:t xml:space="preserve">p_comp,in</x:t>
  </x:si>
  <x:si>
    <x:t xml:space="preserve">空压机入口/混合器下游</x:t>
  </x:si>
  <x:si>
    <x:t xml:space="preserve">回流驱动力的下游边界</x:t>
  </x:si>
  <x:si>
    <x:t xml:space="preserve">T_mix / RH_mix</x:t>
  </x:si>
  <x:si>
    <x:t xml:space="preserve">°C / %</x:t>
  </x:si>
  <x:si>
    <x:t xml:space="preserve">空压机入口混合器</x:t>
  </x:si>
  <x:si>
    <x:t xml:space="preserve">计算露点和 S</x:t>
  </x:si>
  <x:si>
    <x:t xml:space="preserve">S</x:t>
  </x:si>
  <x:si>
    <x:t xml:space="preserve">p_H2O / p_sat(T)</x:t>
  </x:si>
  <x:si>
    <x:t xml:space="preserve">混合器、阴极气体、回流管</x:t>
  </x:si>
  <x:si>
    <x:t xml:space="preserve">S&gt;1 表示气相过饱和</x:t>
  </x:si>
  <x:si>
    <x:t xml:space="preserve">Dew margin</x:t>
  </x:si>
  <x:si>
    <x:t xml:space="preserve">T_gas − T_dew</x:t>
  </x:si>
  <x:si>
    <x:t xml:space="preserve">°C</x:t>
  </x:si>
  <x:si>
    <x:t xml:space="preserve">混合器和关键湿气管路</x:t>
  </x:si>
  <x:si>
    <x:t xml:space="preserve">&lt;0°C 为冷凝风险</x:t>
  </x:si>
  <x:si>
    <x:t xml:space="preserve">A_eff / A_fraction</x:t>
  </x:si>
  <x:si>
    <x:t xml:space="preserve">Local Restriction 等效面积及其相对上限</x:t>
  </x:si>
  <x:si>
    <x:t xml:space="preserve">m² / —</x:t>
  </x:si>
  <x:si>
    <x:t xml:space="preserve">模型控制器/阀门命令</x:t>
  </x:si>
  <x:si>
    <x:t xml:space="preserve">A_fraction≈1 表示模型执行器饱和</x:t>
  </x:si>
  <x:si>
    <x:t xml:space="preserve">r_split</x:t>
  </x:si>
  <x:si>
    <x:t xml:space="preserve">独立观察量，不替代 R_EGR</x:t>
  </x:si>
  <x:si>
    <x:t xml:space="preserve">m_exhaust</x:t>
  </x:si>
  <x:si>
    <x:t xml:space="preserve">与 m_return 做流量闭合</x:t>
  </x:si>
  <x:si>
    <x:t xml:space="preserve">二、装置的半定量选型</x:t>
  </x:si>
  <x:si>
    <x:t xml:space="preserve">二、装置选型的半定量建议</x:t>
  </x:si>
  <x:si>
    <x:t xml:space="preserve">建议设备类别</x:t>
  </x:si>
  <x:si>
    <x:t xml:space="preserve">当前 V-SH 依据/初步范围</x:t>
  </x:si>
  <x:si>
    <x:t xml:space="preserve">选型输入与注意事项</x:t>
  </x:si>
  <x:si>
    <x:t xml:space="preserve">二通比例气体调节阀（position-feedback modulating valve）</x:t>
  </x:si>
  <x:si>
    <x:t xml:space="preserve">当前完整计算点的 m_return 约 0–0.0653 kg/s，局部 Δp_EGR 约 40–130 kPa；等效面积不能直接反推 DN/Cv/Kv。</x:t>
  </x:si>
  <x:si>
    <x:t xml:space="preserve">输入 m_dot、p_up/p_down、T、组分、允许泄漏、Cv/Kv 或厂家质量流量图；不能由 A_fraction 直接反推 DN。</x:t>
  </x:si>
  <x:si>
    <x:t xml:space="preserve">覆盖全阴极排气流量和目标 p_stack,out；需在低回流和高回流两端都保有调节余量。</x:t>
  </x:si>
  <x:si>
    <x:t xml:space="preserve">优先连续调节、阀前/后压力测点、失效位分析；不把它当作 cEGR 阀。</x:t>
  </x:si>
  <x:si>
    <x:t xml:space="preserve">三通管/分流歧管</x:t>
  </x:si>
  <x:si>
    <x:t xml:space="preserve">承担 1 进 2 出，不主动调流；应尽量减少分流节点到两支路测点之间的不可测容积。</x:t>
  </x:si>
  <x:si>
    <x:t xml:space="preserve">给出通径、局部阻力、支路布置和冷凝排液方向；必要时设置低点排液。</x:t>
  </x:si>
  <x:si>
    <x:t xml:space="preserve">压力泄放阀</x:t>
  </x:si>
  <x:si>
    <x:t xml:space="preserve">独立硬件保护件</x:t>
  </x:si>
  <x:si>
    <x:t xml:space="preserve">保护电堆出口和管路超压；不用于常规 R_EGR 控制。</x:t>
  </x:si>
  <x:si>
    <x:t xml:space="preserve">单独设定整定压力并校核排放能力。</x:t>
  </x:si>
  <x:si>
    <x:t xml:space="preserve">止回阀</x:t>
  </x:si>
  <x:si>
    <x:t xml:space="preserve">低开启压差、湿气相兼容</x:t>
  </x:si>
  <x:si>
    <x:t xml:space="preserve">降低启停和瞬态倒流风险；会额外引入压降，必须计入回流能力预算。</x:t>
  </x:si>
  <x:si>
    <x:t xml:space="preserve">需要 cracking pressure、流阻曲线和耐温/耐湿材料信息。</x:t>
  </x:si>
  <x:si>
    <x:t xml:space="preserve">分离/排液部件</x:t>
  </x:si>
  <x:si>
    <x:t xml:space="preserve">气液分离器、低点排液或冷凝收集（若实验装置采用）</x:t>
  </x:si>
  <x:si>
    <x:t xml:space="preserve">当前模型只给出相变需求，实验装置不能把它直接当作“无液水”。</x:t>
  </x:si>
  <x:si>
    <x:t xml:space="preserve">需要允许含液率、分离效率、压降、排液逻辑和空压机进液防护方案。</x:t>
  </x:si>
  <x:si>
    <x:t xml:space="preserve">三、模型测量链</x:t>
  </x:si>
  <x:si>
    <x:t xml:space="preserve">三、实验布置最小测量链</x:t>
  </x:si>
  <x:si>
    <x:t xml:space="preserve">测量链</x:t>
  </x:si>
  <x:si>
    <x:t xml:space="preserve">测量量</x:t>
  </x:si>
  <x:si>
    <x:t xml:space="preserve">用途</x:t>
  </x:si>
  <x:si>
    <x:t xml:space="preserve">阴极出口总压链</x:t>
  </x:si>
  <x:si>
    <x:t xml:space="preserve">确认 p_stack,out≈p_split，避免把背压设定值误当作 V_EGR 阀前压力。</x:t>
  </x:si>
  <x:si>
    <x:t xml:space="preserve">cEGR 支路</x:t>
  </x:si>
  <x:si>
    <x:t xml:space="preserve">计算局部 Δp_EGR、密度变化和真实回流能力。</x:t>
  </x:si>
  <x:si>
    <x:t xml:space="preserve">排气支路</x:t>
  </x:si>
  <x:si>
    <x:t xml:space="preserve">确认 m_return + m_exhaust 与阴极出口总流量闭合。</x:t>
  </x:si>
  <x:si>
    <x:t xml:space="preserve">压缩机入口</x:t>
  </x:si>
  <x:si>
    <x:t xml:space="preserve">解释空压机入口流量上升、入口湿度和进液风险。</x:t>
  </x:si>
  <x:si>
    <x:t xml:space="preserve">压缩机入口混合器冷凝与水汽风险</x:t>
  </x:si>
  <x:si>
    <x:t xml:space="preserve">一、风险判据和工程含义</x:t>
  </x:si>
  <x:si>
    <x:t xml:space="preserve">等级</x:t>
  </x:si>
  <x:si>
    <x:t xml:space="preserve">判据</x:t>
  </x:si>
  <x:si>
    <x:t xml:space="preserve">低风险</x:t>
  </x:si>
  <x:si>
    <x:t xml:space="preserve">S ≤ 0.95 且露点裕度 ≥ 2°C</x:t>
  </x:si>
  <x:si>
    <x:t xml:space="preserve">可作为当前气相筛选中的优先候选，但仍需实验验证。</x:t>
  </x:si>
  <x:si>
    <x:t xml:space="preserve">临界</x:t>
  </x:si>
  <x:si>
    <x:t xml:space="preserve">0.95 &lt; S ≤ 1.0 或露点裕度 0–2°C</x:t>
  </x:si>
  <x:si>
    <x:t xml:space="preserve">需要保留温度/湿度测点并准备降回流或升温策略。</x:t>
  </x:si>
  <x:si>
    <x:t xml:space="preserve">有风险</x:t>
  </x:si>
  <x:si>
    <x:t xml:space="preserve">S &gt; 1.0、冷凝率 &gt; 0 或露点裕度 &lt; 0°C</x:t>
  </x:si>
  <x:si>
    <x:t xml:space="preserve">不宜直接作为无分离/无排液装置的推荐点。</x:t>
  </x:si>
  <x:si>
    <x:t xml:space="preserve">工况</x:t>
  </x:si>
  <x:si>
    <x:t xml:space="preserve">最大混合器相对湿度 S（与混合气体温度有关，详情见附录A）</x:t>
  </x:si>
  <x:si>
    <x:t xml:space="preserve">最大相对超额 (%)</x:t>
  </x:si>
  <x:si>
    <x:t xml:space="preserve">最小露点裕度 (°C)</x:t>
  </x:si>
  <x:si>
    <x:t xml:space="preserve">最大冷凝积分 (mg)</x:t>
  </x:si>
  <x:si>
    <x:t xml:space="preserve">总流量不变-j0p1（R4氧气耗尽）</x:t>
  </x:si>
  <x:si>
    <x:t xml:space="preserve">总流量不变-j0p2</x:t>
  </x:si>
  <x:si>
    <x:t xml:space="preserve">总流量不变-j0p4</x:t>
  </x:si>
  <x:si>
    <x:t xml:space="preserve">总流量不变-j1</x:t>
  </x:si>
  <x:si>
    <x:t xml:space="preserve">新鲜空气不变-j0p1</x:t>
  </x:si>
  <x:si>
    <x:t xml:space="preserve">新鲜空气不变-j0p2</x:t>
  </x:si>
  <x:si>
    <x:t xml:space="preserve">新鲜空气不变-j0p4</x:t>
  </x:si>
  <x:si>
    <x:t xml:space="preserve">新鲜空气不变-j1</x:t>
  </x:si>
  <x:si>
    <x:t xml:space="preserve">三、工程缓解方向</x:t>
  </x:si>
  <x:si>
    <x:t xml:space="preserve">方向</x:t>
  </x:si>
  <x:si>
    <x:t xml:space="preserve">建议</x:t>
  </x:si>
  <x:si>
    <x:t xml:space="preserve">降低回流</x:t>
  </x:si>
  <x:si>
    <x:t xml:space="preserve">先降低 R_EGR 或设置监督限幅，优先保持混合器和阴极气相不超过饱和。</x:t>
  </x:si>
  <x:si>
    <x:t xml:space="preserve">提高混合点温度</x:t>
  </x:si>
  <x:si>
    <x:t xml:space="preserve">通过回流管/混合器保温或受控预热提高露点裕度；需单独验证温度均匀性和材料耐温。</x:t>
  </x:si>
  <x:si>
    <x:t xml:space="preserve">降低新鲜空气湿度</x:t>
  </x:si>
  <x:si>
    <x:t xml:space="preserve">在不破坏自增湿研究边界的前提下，控制环境 RH 或增加入口除湿边界。</x:t>
  </x:si>
  <x:si>
    <x:t xml:space="preserve">处理液水</x:t>
  </x:si>
  <x:si>
    <x:t xml:space="preserve">若实验台出现实际液水，需增加分离、低点排液和空压机进液防护；模型结果不能替代这些硬件。</x:t>
  </x:si>
  <x:si>
    <x:t xml:space="preserve">策略</x:t>
  </x:si>
  <x:si>
    <x:t xml:space="preserve">Case ID</x:t>
  </x:si>
  <x:si>
    <x:t xml:space="preserve">已完成</x:t>
  </x:si>
  <x:si>
    <x:t xml:space="preserve">局部数值通过</x:t>
  </x:si>
  <x:si>
    <x:t xml:space="preserve">j (A/cm²)</x:t>
  </x:si>
  <x:si>
    <x:t xml:space="preserve">无 cEGR 基准 OER_ref</x:t>
  </x:si>
  <x:si>
    <x:t xml:space="preserve">实际 R_EGR</x:t>
  </x:si>
  <x:si>
    <x:t xml:space="preserve">R 偏差</x:t>
  </x:si>
  <x:si>
    <x:t xml:space="preserve">R 容差</x:t>
  </x:si>
  <x:si>
    <x:t xml:space="preserve">目标 x_EGR</x:t>
  </x:si>
  <x:si>
    <x:t xml:space="preserve">实际 x_EGR</x:t>
  </x:si>
  <x:si>
    <x:t xml:space="preserve">m_cEGR (kg/s)</x:t>
  </x:si>
  <x:si>
    <x:t xml:space="preserve">m_fresh (kg/s)</x:t>
  </x:si>
  <x:si>
    <x:t xml:space="preserve">m_exhaust (kg/s)</x:t>
  </x:si>
  <x:si>
    <x:t xml:space="preserve">实际 OER 均值</x:t>
  </x:si>
  <x:si>
    <x:t xml:space="preserve">实际 OER 最小</x:t>
  </x:si>
  <x:si>
    <x:t xml:space="preserve">OER 状态</x:t>
  </x:si>
  <x:si>
    <x:t xml:space="preserve">单电池电压 (V)</x:t>
  </x:si>
  <x:si>
    <x:t xml:space="preserve">阀面积分数</x:t>
  </x:si>
  <x:si>
    <x:t xml:space="preserve">阀压差 Δp_valve (kPa, cEGR阀上游−下游)</x:t>
  </x:si>
  <x:si>
    <x:t xml:space="preserve">空压机入口压力 p_comp,in (kPa abs)</x:t>
  </x:si>
  <x:si>
    <x:t xml:space="preserve">空压机出口压力 p_comp,out (kPa abs)</x:t>
  </x:si>
  <x:si>
    <x:t xml:space="preserve">中冷器后压力 p_after_intercooler (kPa abs)</x:t>
  </x:si>
  <x:si>
    <x:t xml:space="preserve">阴极通道压力 p_ca,channel (kPa abs)</x:t>
  </x:si>
  <x:si>
    <x:t xml:space="preserve">公共背压目标 p_bp,target (kPa abs)</x:t>
  </x:si>
  <x:si>
    <x:t xml:space="preserve">阴极出口压力 p_stack,out (kPa abs)</x:t>
  </x:si>
  <x:si>
    <x:t xml:space="preserve">入堆 RH</x:t>
  </x:si>
  <x:si>
    <x:r>
      <x:t xml:space="preserve">压缩机入口 pO</x:t>
    </x:r>
    <x:r>
      <x:rPr>
        <x:b/>
        <x:sz val="9"/>
        <x:color rgb="FFFFFFFF"/>
        <x:rFont val="Carlito"/>
      </x:rPr>
      <x:t xml:space="preserve">₂</x:t>
    </x:r>
    <x:r>
      <x:rPr>
        <x:b/>
        <x:sz val="9"/>
        <x:color rgb="FFFFFFFF"/>
        <x:rFont val="微软雅黑"/>
        <x:family val="2"/>
      </x:rPr>
      <x:t xml:space="preserve"> (kPa abs)</x:t>
    </x:r>
  </x:si>
  <x:si>
    <x:t xml:space="preserve">混合器 T (°C)</x:t>
  </x:si>
  <x:si>
    <x:t xml:space="preserve">混合器露点裕度 (°C)</x:t>
  </x:si>
  <x:si>
    <x:t xml:space="preserve">混合器相对湿度 S</x:t>
  </x:si>
  <x:si>
    <x:t xml:space="preserve">混合器冷凝率 (kg/s)</x:t>
  </x:si>
  <x:si>
    <x:t xml:space="preserve">混合器冷凝积分 (kg)</x:t>
  </x:si>
  <x:si>
    <x:t xml:space="preserve">混合器相态</x:t>
  </x:si>
  <x:si>
    <x:t xml:space="preserve">阴极气体相对湿度 S</x:t>
  </x:si>
  <x:si>
    <x:t xml:space="preserve">阴极冷凝率 (kg/s)</x:t>
  </x:si>
  <x:si>
    <x:t xml:space="preserve">阴极相态</x:t>
  </x:si>
  <x:si>
    <x:t xml:space="preserve">回流管相对湿度 S</x:t>
  </x:si>
  <x:si>
    <x:t xml:space="preserve">回流管冷凝率 (kg/s)</x:t>
  </x:si>
  <x:si>
    <x:t xml:space="preserve">回流管相态</x:t>
  </x:si>
  <x:si>
    <x:t xml:space="preserve">控制跟踪状态</x:t>
  </x:si>
  <x:si>
    <x:t xml:space="preserve">综合筛选状态</x:t>
  </x:si>
  <x:si>
    <x:t xml:space="preserve">错误 ID</x:t>
  </x:si>
  <x:si>
    <x:t xml:space="preserve">水蒸气相对饱和超额 (%)</x:t>
  </x:si>
  <x:si>
    <x:t xml:space="preserve">混合器冷凝率 (mg/s)</x:t>
  </x:si>
  <x:si>
    <x:t xml:space="preserve">混合器冷凝积分 (mg)</x:t>
  </x:si>
  <x:si>
    <x:t xml:space="preserve">出口压力偏差 (kPa)</x:t>
  </x:si>
  <x:si>
    <x:t xml:space="preserve">备注/失败说明</x:t>
  </x:si>
</x:sst>
</file>

<file path=xl/styles.xml><?xml version="1.0" encoding="utf-8"?>
<x:styleSheet xmlns:x="http://schemas.openxmlformats.org/spreadsheetml/2006/main">
  <x:numFmts count="3">
    <x:numFmt numFmtId="176" formatCode="0.0"/>
    <x:numFmt numFmtId="177" formatCode="0.000"/>
    <x:numFmt numFmtId="178" formatCode="0.000000"/>
  </x:numFmts>
  <x:fonts count="24">
    <x:font>
      <x:sz val="11"/>
      <x:name val="Carlito"/>
    </x:font>
    <x:font>
      <x:b/>
      <x:sz val="9"/>
      <x:color rgb="FFFFFFFF"/>
      <x:name val="Carlito"/>
    </x:font>
    <x:font>
      <x:sz val="11"/>
      <x:name val="Carlito"/>
    </x:font>
    <x:font>
      <x:sz val="9"/>
      <x:name val="宋体"/>
    </x:font>
    <x:font>
      <x:b/>
      <x:sz val="16"/>
      <x:color rgb="FFFFFFFF"/>
      <x:name val="微软雅黑"/>
    </x:font>
    <x:font>
      <x:b/>
      <x:sz val="15"/>
      <x:color rgb="FFFFFFFF"/>
      <x:name val="微软雅黑"/>
    </x:font>
    <x:font>
      <x:b/>
      <x:sz val="16"/>
      <x:color rgb="FFFFFFFF"/>
      <x:name val="微软雅黑"/>
    </x:font>
    <x:font>
      <x:b/>
      <x:sz val="9"/>
      <x:color rgb="FFFFFFFF"/>
      <x:name val="微软雅黑"/>
    </x:font>
    <x:font>
      <x:sz val="11"/>
      <x:name val="微软雅黑"/>
    </x:font>
    <x:font>
      <x:i/>
      <x:sz val="11"/>
      <x:color rgb="FF1F2937"/>
      <x:name val="微软雅黑"/>
    </x:font>
    <x:font>
      <x:b/>
      <x:sz val="11"/>
      <x:color rgb="FFFFFFFF"/>
      <x:name val="微软雅黑"/>
    </x:font>
    <x:font>
      <x:b/>
      <x:sz val="10"/>
      <x:color rgb="FFFFFFFF"/>
      <x:name val="微软雅黑"/>
    </x:font>
    <x:font>
      <x:b/>
      <x:sz val="10"/>
      <x:color rgb="FF1F2937"/>
      <x:name val="微软雅黑"/>
    </x:font>
    <x:font>
      <x:sz val="10"/>
      <x:color rgb="FF1F2937"/>
      <x:name val="微软雅黑"/>
    </x:font>
    <x:font>
      <x:b/>
      <x:sz val="9"/>
      <x:color rgb="FF1F2937"/>
      <x:name val="微软雅黑"/>
    </x:font>
    <x:font>
      <x:sz val="9"/>
      <x:color rgb="FF1F2937"/>
      <x:name val="微软雅黑"/>
    </x:font>
    <x:font>
      <x:b/>
      <x:sz val="11"/>
      <x:color rgb="FF1F2937"/>
      <x:name val="微软雅黑"/>
    </x:font>
    <x:font>
      <x:sz val="11"/>
      <x:color rgb="FF1F2937"/>
      <x:name val="微软雅黑"/>
    </x:font>
    <x:font>
      <x:i/>
      <x:sz val="10"/>
      <x:color rgb="FF1F2937"/>
      <x:name val="微软雅黑"/>
    </x:font>
    <x:font>
      <x:sz val="9"/>
      <x:name val="微软雅黑"/>
    </x:font>
    <x:font>
      <x:b/>
      <x:sz val="16"/>
      <x:color rgb="FFFFFFFF"/>
      <x:name val="微软雅黑"/>
    </x:font>
    <x:font>
      <x:b/>
      <x:sz val="9"/>
      <x:color rgb="FFFFFFFF"/>
      <x:name val="微软雅黑"/>
    </x:font>
    <x:font>
      <x:b/>
      <x:sz val="11"/>
      <x:color rgb="FFFFFFFF"/>
      <x:name val="Carlito"/>
    </x:font>
    <x:font>
      <x:sz val="11"/>
      <x:color rgb="FF1F2937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0F766E"/>
      </x:patternFill>
    </x:fill>
    <x:fill>
      <x:patternFill patternType="solid">
        <x:fgColor rgb="FFF2F2F2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  <x:fill>
      <x:patternFill patternType="solid">
        <x:fgColor rgb="FFEAF2F8"/>
      </x:patternFill>
    </x:fill>
    <x:fill>
      <x:patternFill patternType="solid">
        <x:fgColor rgb="FFF2F2F2"/>
      </x:patternFill>
    </x:fill>
    <x:fill>
      <x:patternFill patternType="solid">
        <x:fgColor rgb="FF0F766E"/>
      </x:patternFill>
    </x:fill>
    <x:fill>
      <x:patternFill patternType="solid">
        <x:fgColor rgb="FFF2F2F2"/>
      </x:patternFill>
    </x:fill>
    <x:fill>
      <x:patternFill patternType="solid">
        <x:fgColor rgb="FF0F766E"/>
      </x:patternFill>
    </x:fill>
    <x:fill>
      <x:patternFill patternType="solid">
        <x:fgColor rgb="FFF2F2F2"/>
      </x:patternFill>
    </x:fill>
    <x:fill>
      <x:patternFill patternType="solid">
        <x:fgColor rgb="FF0F766E"/>
      </x:patternFill>
    </x:fill>
    <x:fill>
      <x:patternFill patternType="solid">
        <x:fgColor rgb="FFF2F2F2"/>
      </x:patternFill>
    </x:fill>
    <x:fill>
      <x:patternFill patternType="solid">
        <x:fgColor rgb="FF0F766E"/>
      </x:patternFill>
    </x:fill>
    <x:fill>
      <x:patternFill patternType="solid">
        <x:fgColor rgb="FFF2F2F2"/>
      </x:patternFill>
    </x:fill>
    <x:fill>
      <x:patternFill patternType="solid">
        <x:fgColor rgb="FF0F766E"/>
      </x:patternFill>
    </x:fill>
    <x:fill>
      <x:patternFill patternType="solid">
        <x:fgColor rgb="FFF2F2F2"/>
      </x:patternFill>
    </x:fill>
    <x:fill>
      <x:patternFill patternType="solid">
        <x:fgColor rgb="FF0F766E"/>
      </x:patternFill>
    </x:fill>
    <x:fill>
      <x:patternFill patternType="solid">
        <x:fgColor rgb="FFF2F2F2"/>
      </x:patternFill>
    </x:fill>
  </x:fills>
  <x:borders count="8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2">
    <x:xf numFmtId="0" fontId="0" fillId="0" borderId="0"/>
    <x:xf numFmtId="0" fontId="2" fillId="0" borderId="0"/>
  </x:cellStyleXfs>
  <x:cellXfs count="74">
    <x:xf numFmtId="0" fontId="0" fillId="0" borderId="0" xfId="0"/>
    <x:xf numFmtId="0" fontId="8" fillId="0" borderId="0" xfId="1" applyFont="1" applyAlignment="1">
      <x:alignment horizontal="center" vertical="center"/>
    </x:xf>
    <x:xf numFmtId="0" fontId="8" fillId="0" borderId="0" xfId="0" applyFont="1" applyAlignment="1">
      <x:alignment horizontal="center" vertical="center"/>
    </x:xf>
    <x:xf numFmtId="0" fontId="11" fillId="4" borderId="1" xfId="1" applyFont="1" applyFill="1" applyBorder="1" applyAlignment="1">
      <x:alignment horizontal="center" vertical="center" wrapText="1"/>
    </x:xf>
    <x:xf numFmtId="0" fontId="12" fillId="5" borderId="1" xfId="1" applyFont="1" applyFill="1" applyBorder="1" applyAlignment="1">
      <x:alignment horizontal="center" vertical="center" wrapText="1"/>
    </x:xf>
    <x:xf numFmtId="0" fontId="13" fillId="0" borderId="1" xfId="1" applyFont="1" applyBorder="1" applyAlignment="1">
      <x:alignment horizontal="center" vertical="center" wrapText="1"/>
    </x:xf>
    <x:xf numFmtId="0" fontId="7" fillId="7" borderId="1" xfId="0" applyFont="1" applyFill="1" applyBorder="1" applyAlignment="1">
      <x:alignment horizontal="center" vertical="center" wrapText="1"/>
    </x:xf>
    <x:xf numFmtId="0" fontId="15" fillId="0" borderId="1" xfId="0" applyFont="1" applyBorder="1" applyAlignment="1">
      <x:alignment horizontal="center" vertical="center" wrapText="1"/>
    </x:xf>
    <x:xf numFmtId="0" fontId="13" fillId="6" borderId="3" xfId="1" applyFont="1" applyFill="1" applyBorder="1" applyAlignment="1">
      <x:alignment horizontal="center" vertical="center" wrapText="1"/>
    </x:xf>
    <x:xf numFmtId="0" fontId="13" fillId="6" borderId="4" xfId="1" applyFont="1" applyFill="1" applyBorder="1" applyAlignment="1">
      <x:alignment horizontal="center" vertical="center" wrapText="1"/>
    </x:xf>
    <x:xf numFmtId="0" fontId="10" fillId="10" borderId="1" xfId="0" applyFont="1" applyFill="1" applyBorder="1" applyAlignment="1">
      <x:alignment horizontal="center" vertical="center" wrapText="1"/>
    </x:xf>
    <x:xf numFmtId="0" fontId="16" fillId="11" borderId="1" xfId="0" applyFont="1" applyFill="1" applyBorder="1" applyAlignment="1">
      <x:alignment horizontal="center" vertical="center" wrapText="1"/>
    </x:xf>
    <x:xf numFmtId="0" fontId="17" fillId="0" borderId="1" xfId="0" applyFont="1" applyBorder="1" applyAlignment="1">
      <x:alignment horizontal="center" vertical="center" wrapText="1"/>
    </x:xf>
    <x:xf numFmtId="0" fontId="7" fillId="4" borderId="1" xfId="1" applyFont="1" applyFill="1" applyBorder="1" applyAlignment="1">
      <x:alignment horizontal="center" vertical="center" wrapText="1"/>
    </x:xf>
    <x:xf numFmtId="0" fontId="15" fillId="0" borderId="1" xfId="1" applyFont="1" applyBorder="1" applyAlignment="1">
      <x:alignment horizontal="center" vertical="center"/>
    </x:xf>
    <x:xf numFmtId="0" fontId="15" fillId="0" borderId="1" xfId="1" applyFont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76" fontId="15" fillId="0" borderId="1" xfId="1" applyNumberFormat="1" applyFont="1" applyBorder="1" applyAlignment="1">
      <x:alignment horizontal="center" vertical="center"/>
    </x:xf>
    <x:xf numFmtId="177" fontId="15" fillId="0" borderId="1" xfId="1" applyNumberFormat="1" applyFont="1" applyBorder="1" applyAlignment="1">
      <x:alignment horizontal="center" vertical="center"/>
    </x:xf>
    <x:xf numFmtId="178" fontId="15" fillId="0" borderId="1" xfId="1" applyNumberFormat="1" applyFont="1" applyBorder="1" applyAlignment="1">
      <x:alignment horizontal="center" vertical="center"/>
    </x:xf>
    <x:xf numFmtId="2" fontId="15" fillId="0" borderId="1" xfId="1" applyNumberFormat="1" applyFont="1" applyBorder="1" applyAlignment="1">
      <x:alignment horizontal="center" vertical="center"/>
    </x:xf>
    <x:xf numFmtId="0" fontId="19" fillId="0" borderId="0" xfId="0" applyFont="1" applyAlignment="1">
      <x:alignment horizontal="center" vertical="center"/>
    </x:xf>
    <x:xf numFmtId="0" fontId="19" fillId="0" borderId="0" xfId="0" applyFon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3" fillId="0" borderId="1" xfId="1" applyNumberFormat="1" applyFont="1" applyBorder="1" applyAlignment="1">
      <x:alignment horizontal="center" vertical="center" wrapText="1"/>
    </x:xf>
    <x:xf numFmtId="2" fontId="13" fillId="0" borderId="1" xfId="1" applyNumberFormat="1" applyFont="1" applyBorder="1" applyAlignment="1">
      <x:alignment horizontal="center" vertical="center" wrapText="1"/>
    </x:xf>
    <x:xf numFmtId="176" fontId="13" fillId="0" borderId="1" xfId="1" applyNumberFormat="1" applyFont="1" applyBorder="1" applyAlignment="1">
      <x:alignment horizontal="center" vertical="center" wrapText="1"/>
    </x:xf>
    <x:xf numFmtId="0" fontId="5" fillId="2" borderId="0" xfId="1" applyFont="1" applyFill="1" applyAlignment="1">
      <x:alignment horizontal="center" vertical="center" wrapText="1"/>
    </x:xf>
    <x:xf numFmtId="0" fontId="18" fillId="3" borderId="0" xfId="1" applyFont="1" applyFill="1" applyAlignment="1">
      <x:alignment horizontal="center" vertical="center" wrapText="1"/>
    </x:xf>
    <x:xf numFmtId="178" fontId="0" fillId="0" borderId="0" xfId="0" applyNumberFormat="1"/>
    <x:xf numFmtId="0" fontId="14" fillId="9" borderId="1" xfId="0" applyFont="1" applyFill="1" applyBorder="1" applyAlignment="1">
      <x:alignment horizontal="center" vertical="center" wrapText="1"/>
    </x:xf>
    <x:xf numFmtId="0" fontId="15" fillId="0" borderId="1" xfId="0" applyFont="1" applyBorder="1" applyAlignment="1">
      <x:alignment horizontal="center" vertical="center" wrapText="1"/>
    </x:xf>
    <x:xf numFmtId="0" fontId="4" fillId="2" borderId="0" xfId="1" applyFont="1" applyFill="1" applyAlignment="1">
      <x:alignment horizontal="center" vertical="center" wrapText="1"/>
    </x:xf>
    <x:xf numFmtId="0" fontId="9" fillId="3" borderId="0" xfId="1" applyFont="1" applyFill="1" applyAlignment="1">
      <x:alignment horizontal="center" vertical="center" wrapText="1"/>
    </x:xf>
    <x:xf numFmtId="0" fontId="10" fillId="4" borderId="0" xfId="1" applyFont="1" applyFill="1" applyAlignment="1">
      <x:alignment horizontal="left" vertical="center" wrapText="1"/>
    </x:xf>
    <x:xf numFmtId="0" fontId="10" fillId="4" borderId="0" xfId="1" applyFont="1" applyFill="1" applyAlignment="1">
      <x:alignment horizontal="center" vertical="center" wrapText="1"/>
    </x:xf>
    <x:xf numFmtId="0" fontId="10" fillId="7" borderId="0" xfId="0" applyFont="1" applyFill="1" applyAlignment="1">
      <x:alignment horizontal="center" vertical="center" wrapText="1"/>
    </x:xf>
    <x:xf numFmtId="0" fontId="13" fillId="8" borderId="5" xfId="0" applyFont="1" applyFill="1" applyBorder="1" applyAlignment="1">
      <x:alignment horizontal="center" vertical="center" wrapText="1"/>
    </x:xf>
    <x:xf numFmtId="0" fontId="13" fillId="8" borderId="6" xfId="0" applyFont="1" applyFill="1" applyBorder="1" applyAlignment="1">
      <x:alignment horizontal="center" vertical="center" wrapText="1"/>
    </x:xf>
    <x:xf numFmtId="0" fontId="13" fillId="8" borderId="7" xfId="0" applyFont="1" applyFill="1" applyBorder="1" applyAlignment="1">
      <x:alignment horizontal="center" vertical="center" wrapText="1"/>
    </x:xf>
    <x:xf numFmtId="0" fontId="7" fillId="7" borderId="1" xfId="0" applyFont="1" applyFill="1" applyBorder="1" applyAlignment="1">
      <x:alignment horizontal="center" vertical="center" wrapText="1"/>
    </x:xf>
    <x:xf numFmtId="0" fontId="12" fillId="6" borderId="2" xfId="1" applyFont="1" applyFill="1" applyBorder="1" applyAlignment="1">
      <x:alignment horizontal="left" vertical="center" wrapText="1"/>
    </x:xf>
    <x:xf numFmtId="0" fontId="12" fillId="6" borderId="3" xfId="1" applyFont="1" applyFill="1" applyBorder="1" applyAlignment="1">
      <x:alignment horizontal="left" vertical="center" wrapText="1"/>
    </x:xf>
    <x:xf numFmtId="0" fontId="10" fillId="10" borderId="0" xfId="0" applyFont="1" applyFill="1" applyAlignment="1">
      <x:alignment horizontal="left" vertical="center" wrapText="1"/>
    </x:xf>
    <x:xf numFmtId="0" fontId="6" fillId="2" borderId="0" xfId="1" applyFont="1" applyFill="1" applyAlignment="1">
      <x:alignment horizontal="center" vertical="center" wrapText="1"/>
    </x:xf>
    <x:xf numFmtId="0" fontId="10" fillId="12" borderId="0" xfId="0" applyNumberFormat="1" applyFont="1" applyFill="1" applyBorder="1" applyAlignment="1">
      <x:alignment horizontal="left" vertical="center" wrapText="1"/>
    </x:xf>
    <x:xf numFmtId="0" fontId="10" fillId="12" borderId="1" xfId="0" applyNumberFormat="1" applyFont="1" applyFill="1" applyBorder="1" applyAlignment="1">
      <x:alignment horizontal="center" vertical="center" wrapText="1"/>
    </x:xf>
    <x:xf numFmtId="0" fontId="16" fillId="13" borderId="1" xfId="0" applyNumberFormat="1" applyFont="1" applyFill="1" applyBorder="1" applyAlignment="1">
      <x:alignment horizontal="center" vertical="center" wrapText="1"/>
    </x:xf>
    <x:xf numFmtId="0" fontId="16" fillId="13" borderId="1" xfId="0" applyNumberFormat="1" applyFont="1" applyFill="1" applyBorder="1" applyAlignment="1">
      <x:alignment horizontal="general" vertical="center" wrapText="1"/>
    </x:xf>
    <x:xf numFmtId="0" fontId="17" fillId="0" borderId="1" xfId="0" applyNumberFormat="1" applyFont="1" applyFill="1" applyBorder="1" applyAlignment="1">
      <x:alignment horizontal="center" vertical="center" wrapText="1"/>
    </x:xf>
    <x:xf numFmtId="0" fontId="17" fillId="0" borderId="1" xfId="0" applyNumberFormat="1" applyFont="1" applyFill="1" applyBorder="1" applyAlignment="1">
      <x:alignment horizontal="general" vertical="center" wrapText="1"/>
    </x:xf>
    <x:xf numFmtId="0" fontId="0" fillId="12" borderId="0" xfId="0" applyNumberFormat="1" applyFont="1" applyFill="1" applyBorder="1"/>
    <x:xf numFmtId="0" fontId="22" fillId="12" borderId="0" xfId="0" applyNumberFormat="1" applyFont="1" applyFill="1" applyBorder="1"/>
    <x:xf numFmtId="0" fontId="22" fillId="12" borderId="1" xfId="0" applyNumberFormat="1" applyFont="1" applyFill="1" applyBorder="1"/>
    <x:xf numFmtId="0" fontId="22" fillId="12" borderId="1" xfId="0" applyNumberFormat="1" applyFont="1" applyFill="1" applyBorder="1" applyAlignment="1">
      <x:alignment wrapText="1"/>
    </x:xf>
    <x:xf numFmtId="0" fontId="22" fillId="12" borderId="1" xfId="0" applyNumberFormat="1" applyFont="1" applyFill="1" applyBorder="1" applyAlignment="1">
      <x:alignment horizontal="center" wrapText="1"/>
    </x:xf>
    <x:xf numFmtId="0" fontId="23" fillId="0" borderId="0" xfId="0" applyNumberFormat="1" applyFont="1" applyFill="1" applyBorder="1"/>
    <x:xf numFmtId="0" fontId="23" fillId="0" borderId="1" xfId="0" applyNumberFormat="1" applyFont="1" applyFill="1" applyBorder="1"/>
    <x:xf numFmtId="0" fontId="23" fillId="0" borderId="1" xfId="0" applyNumberFormat="1" applyFont="1" applyFill="1" applyBorder="1" applyAlignment="1">
      <x:alignment wrapText="1"/>
    </x:xf>
    <x:xf numFmtId="177" fontId="23" fillId="0" borderId="1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horizontal="left" vertical="center" wrapText="1"/>
    </x:xf>
    <x:xf numFmtId="0" fontId="10" fillId="14" borderId="1" xfId="0" applyNumberFormat="1" applyFont="1" applyFill="1" applyBorder="1" applyAlignment="1">
      <x:alignment horizontal="center" vertical="center" wrapText="1"/>
    </x:xf>
    <x:xf numFmtId="0" fontId="16" fillId="15" borderId="1" xfId="0" applyNumberFormat="1" applyFont="1" applyFill="1" applyBorder="1" applyAlignment="1">
      <x:alignment horizontal="general" vertical="center" wrapText="1"/>
    </x:xf>
    <x:xf numFmtId="0" fontId="22" fillId="14" borderId="1" xfId="0" applyNumberFormat="1" applyFont="1" applyFill="1" applyBorder="1" applyAlignment="1">
      <x:alignment horizontal="center" wrapText="1"/>
    </x:xf>
    <x:xf numFmtId="0" fontId="10" fillId="16" borderId="0" xfId="0" applyNumberFormat="1" applyFont="1" applyFill="1" applyBorder="1" applyAlignment="1">
      <x:alignment horizontal="left" vertical="center" wrapText="1"/>
    </x:xf>
    <x:xf numFmtId="0" fontId="10" fillId="16" borderId="1" xfId="0" applyNumberFormat="1" applyFont="1" applyFill="1" applyBorder="1" applyAlignment="1">
      <x:alignment horizontal="center" vertical="center" wrapText="1"/>
    </x:xf>
    <x:xf numFmtId="0" fontId="16" fillId="17" borderId="1" xfId="0" applyNumberFormat="1" applyFont="1" applyFill="1" applyBorder="1" applyAlignment="1">
      <x:alignment horizontal="general" vertical="center" wrapText="1"/>
    </x:xf>
    <x:xf numFmtId="0" fontId="22" fillId="16" borderId="1" xfId="0" applyNumberFormat="1" applyFont="1" applyFill="1" applyBorder="1" applyAlignment="1">
      <x:alignment horizontal="center" wrapText="1"/>
    </x:xf>
    <x:xf numFmtId="0" fontId="10" fillId="18" borderId="0" xfId="0" applyNumberFormat="1" applyFont="1" applyFill="1" applyBorder="1" applyAlignment="1">
      <x:alignment horizontal="left" vertical="center" wrapText="1"/>
    </x:xf>
    <x:xf numFmtId="0" fontId="10" fillId="18" borderId="1" xfId="0" applyNumberFormat="1" applyFont="1" applyFill="1" applyBorder="1" applyAlignment="1">
      <x:alignment horizontal="center" vertical="center" wrapText="1"/>
    </x:xf>
    <x:xf numFmtId="0" fontId="16" fillId="19" borderId="1" xfId="0" applyNumberFormat="1" applyFont="1" applyFill="1" applyBorder="1" applyAlignment="1">
      <x:alignment horizontal="general" vertical="center" wrapText="1"/>
    </x:xf>
    <x:xf numFmtId="0" fontId="22" fillId="18" borderId="1" xfId="0" applyNumberFormat="1" applyFont="1" applyFill="1" applyBorder="1" applyAlignment="1">
      <x:alignment horizontal="center" wrapText="1"/>
    </x:xf>
    <x:xf numFmtId="0" fontId="10" fillId="20" borderId="0" xfId="0" applyNumberFormat="1" applyFont="1" applyFill="1" applyBorder="1" applyAlignment="1">
      <x:alignment horizontal="left" vertical="center" wrapText="1"/>
    </x:xf>
    <x:xf numFmtId="0" fontId="10" fillId="20" borderId="1" xfId="0" applyNumberFormat="1" applyFont="1" applyFill="1" applyBorder="1" applyAlignment="1">
      <x:alignment horizontal="center" vertical="center" wrapText="1"/>
    </x:xf>
    <x:xf numFmtId="0" fontId="16" fillId="21" borderId="1" xfId="0" applyNumberFormat="1" applyFont="1" applyFill="1" applyBorder="1" applyAlignment="1">
      <x:alignment horizontal="general" vertical="center" wrapText="1"/>
    </x:xf>
    <x:xf numFmtId="0" fontId="22" fillId="20" borderId="1" xfId="0" applyNumberFormat="1" applyFont="1" applyFill="1" applyBorder="1" applyAlignment="1">
      <x:alignment horizontal="center" wrapText="1"/>
    </x:xf>
  </x:cellXfs>
  <x:cellStyles count="2">
    <x:cellStyle name="Normal" xfId="1"/>
    <x:cellStyle name="常规" xfId="0"/>
  </x:cellStyles>
  <x:dxfs count="3"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ca189b4c964018" /><Relationship Type="http://schemas.openxmlformats.org/officeDocument/2006/relationships/theme" Target="/xl/theme/theme1.xml" Id="R4f2bc64c967f4e79" /><Relationship Type="http://schemas.microsoft.com/office/2022/11/relationships/FeaturePropertyBag" Target="/xl/featurePropertyBag/featurePropertyBag.xml" Id="Rd04a1e29cfa547df" /><Relationship Type="http://schemas.openxmlformats.org/officeDocument/2006/relationships/sharedStrings" Target="/xl/sharedStrings.xml" Id="Rf0379d0dfd6e472e" /><Relationship Type="http://schemas.openxmlformats.org/officeDocument/2006/relationships/worksheet" Target="/xl/worksheets/sheet1.xml" Id="R7b5a02f79ca84d91" /><Relationship Type="http://schemas.openxmlformats.org/officeDocument/2006/relationships/worksheet" Target="/xl/worksheets/sheet2.xml" Id="Refc57b37be694ff2" /><Relationship Type="http://schemas.openxmlformats.org/officeDocument/2006/relationships/worksheet" Target="/xl/worksheets/sheet3.xml" Id="R0c3f6ec372b8415c" /><Relationship Type="http://schemas.openxmlformats.org/officeDocument/2006/relationships/worksheet" Target="/xl/worksheets/sheet4.xml" Id="R7af1108d84ac4206" /><Relationship Type="http://schemas.openxmlformats.org/officeDocument/2006/relationships/worksheet" Target="/xl/worksheets/sheet5.xml" Id="R19b563fd203b443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ca4a69513714276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4</xdr:row>
      <xdr:rowOff>0</xdr:rowOff>
    </xdr:from>
    <xdr:ext cx="13335000" cy="5619750"/>
    <xdr:pic>
      <xdr:nvPicPr>
        <xdr:cNvPr id="1" name="824eda25-cbe1-4a3d-b822-0fd9db451f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a4a695137142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e56adfcf1cf46d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.600000381469727"/>
  <x:cols>
    <x:col min="1" max="1" width="24" style="2" customWidth="1"/>
    <x:col min="2" max="2" width="86.296875" style="2" customWidth="1"/>
    <x:col min="3" max="9" width="15" style="2" customWidth="1"/>
    <x:col min="10" max="11" width="18" style="2" customWidth="1"/>
    <x:col min="12" max="12" width="22" style="2" customWidth="1"/>
    <x:col min="13" max="16384" width="8.796875" style="2" customWidth="0"/>
  </x:cols>
  <x:sheetData>
    <x:row r="1" ht="19.200000762939453" customHeight="1">
      <x:c r="A1" s="30" t="s">
        <x:v>0</x:v>
      </x:c>
      <x:c r="B1" s="30" t="s">
        <x:v>1</x:v>
      </x:c>
      <x:c r="C1" s="30" t="s">
        <x:v>1</x:v>
      </x:c>
      <x:c r="D1" s="30" t="s">
        <x:v>1</x:v>
      </x:c>
      <x:c r="E1" s="30" t="s">
        <x:v>1</x:v>
      </x:c>
      <x:c r="F1" s="30" t="s">
        <x:v>1</x:v>
      </x:c>
      <x:c r="G1" s="30" t="s">
        <x:v>1</x:v>
      </x:c>
      <x:c r="H1" s="30" t="s">
        <x:v>1</x:v>
      </x:c>
      <x:c r="I1" s="30" t="s">
        <x:v>1</x:v>
      </x:c>
      <x:c r="J1" s="30" t="s">
        <x:v>1</x:v>
      </x:c>
      <x:c r="K1" s="30" t="s">
        <x:v>1</x:v>
      </x:c>
      <x:c r="L1" s="30" t="s">
        <x:v>1</x:v>
      </x:c>
      <x:c r="M1" s="1"/>
      <x:c r="N1" s="1"/>
      <x:c r="O1" s="1"/>
      <x:c r="P1" s="1"/>
    </x:row>
    <x:row r="2" ht="15" customHeight="1">
      <x:c r="A2" s="31" t="s">
        <x:v>2</x:v>
      </x:c>
      <x:c r="B2" s="31" t="s">
        <x:v>3</x:v>
      </x:c>
      <x:c r="C2" s="31" t="s">
        <x:v>4</x:v>
      </x:c>
      <x:c r="D2" s="31" t="s">
        <x:v>4</x:v>
      </x:c>
      <x:c r="E2" s="31" t="s">
        <x:v>4</x:v>
      </x:c>
      <x:c r="F2" s="31" t="s">
        <x:v>4</x:v>
      </x:c>
      <x:c r="G2" s="31" t="s">
        <x:v>4</x:v>
      </x:c>
      <x:c r="H2" s="31" t="s">
        <x:v>4</x:v>
      </x:c>
      <x:c r="I2" s="31" t="s">
        <x:v>4</x:v>
      </x:c>
      <x:c r="J2" s="31" t="s">
        <x:v>4</x:v>
      </x:c>
      <x:c r="K2" s="31" t="s">
        <x:v>4</x:v>
      </x:c>
      <x:c r="L2" s="31" t="s">
        <x:v>4</x:v>
      </x:c>
      <x:c r="M2" s="1"/>
      <x:c r="N2" s="1"/>
      <x:c r="O2" s="1"/>
      <x:c r="P2" s="1"/>
    </x:row>
    <x:row r="3" ht="15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 ht="15" customHeight="1">
      <x:c r="A4" s="32" t="s">
        <x:v>5</x:v>
      </x:c>
      <x:c r="B4" s="32" t="s">
        <x:v>6</x:v>
      </x:c>
      <x:c r="C4" s="32" t="s">
        <x:v>6</x:v>
      </x:c>
      <x:c r="D4" s="32" t="s">
        <x:v>6</x:v>
      </x:c>
      <x:c r="E4" s="32" t="s">
        <x:v>6</x:v>
      </x:c>
      <x:c r="F4" s="32" t="s">
        <x:v>6</x:v>
      </x:c>
      <x:c r="G4" s="32" t="s">
        <x:v>6</x:v>
      </x:c>
      <x:c r="H4" s="32" t="s">
        <x:v>6</x:v>
      </x:c>
      <x:c r="I4" s="32" t="s">
        <x:v>6</x:v>
      </x:c>
      <x:c r="J4" s="32" t="s">
        <x:v>6</x:v>
      </x:c>
      <x:c r="K4" s="32" t="s">
        <x:v>6</x:v>
      </x:c>
      <x:c r="L4" s="32" t="s">
        <x:v>6</x:v>
      </x:c>
      <x:c r="M4" s="1"/>
      <x:c r="N4" s="1"/>
      <x:c r="O4" s="1"/>
      <x:c r="P4" s="1"/>
    </x:row>
    <x:row r="5" ht="15" customHeight="1">
      <x:c r="A5" s="3" t="s">
        <x:v>7</x:v>
      </x:c>
      <x:c r="B5" s="3" t="s">
        <x:v>8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76.19999694824219" customHeight="1">
      <x:c r="A6" s="4" t="s">
        <x:v>9</x:v>
      </x:c>
      <x:c r="B6" s="5" t="str">
        <x:v>当前正式结构：电堆阴极出口先进入理想分流节点，再并联进入两条支路：V_EGR → 空压机入口混合器 cEGR 口，V_BP → 环境排气。V_BP 负责跟踪 p_bp,target 以维持 p_stack,out；V_EGR 负责跟踪 R_EGR/x_EGR。两阀必须协同控制；本 case 下两支路下游均为 101.325 kPa abs，因此 Δp_BP 与 Δp_EGR 数值接近，但不是同一阀/同一流路。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46.20000076293945" customHeight="1">
      <x:c r="A7" s="4" t="s">
        <x:v>10</x:v>
      </x:c>
      <x:c r="B7" s="5" t="s">
        <x:v>11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 ht="46.20000076293945" customHeight="1">
      <x:c r="A8" s="4" t="s">
        <x:v>12</x:v>
      </x:c>
      <x:c r="B8" s="5" t="s">
        <x:v>13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 ht="72.5999984741211" customHeight="1">
      <x:c r="A9" s="4" t="s">
        <x:v>14</x:v>
      </x:c>
      <x:c r="B9" s="5" t="str">
        <x:v>低负荷 j=0.1 A/cm²：总流量不变 R_EGR=4 的正式 case 在 267.195636 s 触发 Cathode 质量分数非负断言；失稳前 O₂ 质量分数已越过 0，lambda_min≈1.0，属于气相氧供给边界失败，不用截断负值或放宽断言掩盖。其余 total-flow case 完成；fresh-air 批次全部完成。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49.20000076293945" customHeight="1">
      <x:c r="A10" s="4" t="s">
        <x:v>15</x:v>
      </x:c>
      <x:c r="B10" s="5" t="s">
        <x:v>16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87" customHeight="1">
      <x:c r="A11" s="4" t="s">
        <x:v>17</x:v>
      </x:c>
      <x:c r="B11" s="5" t="str">
        <x:v>所谓阀面积是等效参数，不是实际阀 DN、Cv/Kv 或行程。240 kW 初选按 m_total≈0.33 kg/s、R_EGR≤4、p_up≈0.195–0.245 MPa abs、p_down≈0.090–0.105 MPa abs和热湿气体边界提出连续比例阀参数；正式采购仍需厂家气体流量曲线、泄漏/失电位、冷凝液滴和支路压降确认。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15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 ht="22.049999237060547" customHeight="1">
      <x:c r="A13" s="34" t="s">
        <x:v>18</x:v>
      </x:c>
      <x:c r="B13" s="34" t="s">
        <x:v>18</x:v>
      </x:c>
      <x:c r="C13" s="34" t="s">
        <x:v>18</x:v>
      </x:c>
      <x:c r="D13" s="34" t="s">
        <x:v>18</x:v>
      </x:c>
      <x:c r="E13" s="34" t="s">
        <x:v>18</x:v>
      </x:c>
      <x:c r="F13" s="34" t="s">
        <x:v>18</x:v>
      </x:c>
      <x:c r="G13" s="34" t="s">
        <x:v>18</x:v>
      </x:c>
      <x:c r="H13" s="34" t="s">
        <x:v>18</x:v>
      </x:c>
      <x:c r="I13" s="34" t="s">
        <x:v>18</x:v>
      </x:c>
      <x:c r="J13" s="34" t="s">
        <x:v>18</x:v>
      </x:c>
      <x:c r="K13" s="34" t="s">
        <x:v>18</x:v>
      </x:c>
      <x:c r="L13" s="34" t="s">
        <x:v>18</x:v>
      </x:c>
      <x:c r="M13" s="1"/>
      <x:c r="N13" s="1"/>
      <x:c r="O13" s="1"/>
      <x:c r="P13" s="1"/>
    </x:row>
    <x:row r="14" ht="72" customHeight="1">
      <x:c r="A14" s="35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B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C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D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E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F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G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H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I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J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K14" s="36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L14" s="37" t="str">
        <x:v>当前拓扑 52 个 600 s cold-start case：总流量不变 23/24 完成、23 个局部数值通过、9 个气相工程筛选候选；新鲜空气不变 28/28 完成、22 个局部数值通过、15 个气相工程筛选候选。合计 51/52 完成、45 个局部通过；失败与冷凝/跟踪风险分开保留。</x:v>
      </x:c>
      <x:c r="M14" s="1"/>
      <x:c r="N14" s="1"/>
      <x:c r="O14" s="1"/>
      <x:c r="P14" s="1"/>
    </x:row>
    <x:row r="15" ht="36" customHeight="1">
      <x:c r="A15" s="38" t="s">
        <x:v>19</x:v>
      </x:c>
      <x:c r="B15" s="38" t="s">
        <x:v>19</x:v>
      </x:c>
      <x:c r="C15" s="6" t="s">
        <x:v>20</x:v>
      </x:c>
      <x:c r="D15" s="38" t="s">
        <x:v>21</x:v>
      </x:c>
      <x:c r="E15" s="38" t="s">
        <x:v>22</x:v>
      </x:c>
      <x:c r="F15" s="38" t="s">
        <x:v>23</x:v>
      </x:c>
      <x:c r="G15" s="38" t="s">
        <x:v>23</x:v>
      </x:c>
      <x:c r="H15" s="38" t="s">
        <x:v>24</x:v>
      </x:c>
      <x:c r="I15" s="38" t="s">
        <x:v>24</x:v>
      </x:c>
      <x:c r="J15" s="38" t="s">
        <x:v>25</x:v>
      </x:c>
      <x:c r="K15" s="38" t="s">
        <x:v>26</x:v>
      </x:c>
      <x:c r="L15" s="38" t="s">
        <x:v>26</x:v>
      </x:c>
      <x:c r="M15" s="1"/>
      <x:c r="N15" s="1"/>
      <x:c r="O15" s="1"/>
      <x:c r="P15" s="1"/>
    </x:row>
    <x:row r="16" ht="52.04999923706055" customHeight="1">
      <x:c r="A16" s="28" t="s">
        <x:v>27</x:v>
      </x:c>
      <x:c r="B16" s="28" t="s">
        <x:v>27</x:v>
      </x:c>
      <x:c r="C16" s="7">
        <x:v>0.1</x:v>
      </x:c>
      <x:c r="D16" s="29" t="s">
        <x:v>28</x:v>
      </x:c>
      <x:c r="E16" s="29" t="s">
        <x:v>28</x:v>
      </x:c>
      <x:c r="F16" s="29" t="s">
        <x:v>29</x:v>
      </x:c>
      <x:c r="G16" s="29" t="s">
        <x:v>29</x:v>
      </x:c>
      <x:c r="H16" s="29" t="s">
        <x:v>30</x:v>
      </x:c>
      <x:c r="I16" s="29" t="s">
        <x:v>31</x:v>
      </x:c>
      <x:c r="J16" s="29" t="s">
        <x:v>32</x:v>
      </x:c>
      <x:c r="K16" s="29" t="s">
        <x:v>33</x:v>
      </x:c>
      <x:c r="L16" s="29" t="s">
        <x:v>33</x:v>
      </x:c>
      <x:c r="M16" s="1"/>
      <x:c r="N16" s="1"/>
      <x:c r="O16" s="1"/>
      <x:c r="P16" s="1"/>
    </x:row>
    <x:row r="17" ht="52.04999923706055" customHeight="1">
      <x:c r="A17" s="28" t="s">
        <x:v>27</x:v>
      </x:c>
      <x:c r="B17" s="28" t="s">
        <x:v>27</x:v>
      </x:c>
      <x:c r="C17" s="7">
        <x:v>0.2</x:v>
      </x:c>
      <x:c r="D17" s="29" t="s">
        <x:v>34</x:v>
      </x:c>
      <x:c r="E17" s="29" t="s">
        <x:v>34</x:v>
      </x:c>
      <x:c r="F17" s="29" t="s">
        <x:v>35</x:v>
      </x:c>
      <x:c r="G17" s="29" t="s">
        <x:v>36</x:v>
      </x:c>
      <x:c r="H17" s="29" t="s">
        <x:v>37</x:v>
      </x:c>
      <x:c r="I17" s="29" t="s">
        <x:v>38</x:v>
      </x:c>
      <x:c r="J17" s="29" t="s">
        <x:v>39</x:v>
      </x:c>
      <x:c r="K17" s="29" t="s">
        <x:v>40</x:v>
      </x:c>
      <x:c r="L17" s="29" t="s">
        <x:v>40</x:v>
      </x:c>
      <x:c r="M17" s="1"/>
      <x:c r="N17" s="1"/>
      <x:c r="O17" s="1"/>
      <x:c r="P17" s="1"/>
    </x:row>
    <x:row r="18" ht="52.04999923706055" customHeight="1">
      <x:c r="A18" s="28" t="s">
        <x:v>27</x:v>
      </x:c>
      <x:c r="B18" s="28" t="s">
        <x:v>27</x:v>
      </x:c>
      <x:c r="C18" s="7">
        <x:v>0.4</x:v>
      </x:c>
      <x:c r="D18" s="29" t="s">
        <x:v>41</x:v>
      </x:c>
      <x:c r="E18" s="29" t="s">
        <x:v>41</x:v>
      </x:c>
      <x:c r="F18" s="29" t="s">
        <x:v>42</x:v>
      </x:c>
      <x:c r="G18" s="29" t="s">
        <x:v>42</x:v>
      </x:c>
      <x:c r="H18" s="29" t="s">
        <x:v>43</x:v>
      </x:c>
      <x:c r="I18" s="29" t="s">
        <x:v>44</x:v>
      </x:c>
      <x:c r="J18" s="29" t="s">
        <x:v>39</x:v>
      </x:c>
      <x:c r="K18" s="29" t="s">
        <x:v>45</x:v>
      </x:c>
      <x:c r="L18" s="29" t="s">
        <x:v>45</x:v>
      </x:c>
      <x:c r="M18" s="1"/>
      <x:c r="N18" s="1"/>
      <x:c r="O18" s="1"/>
      <x:c r="P18" s="1"/>
    </x:row>
    <x:row r="19" ht="52.04999923706055" customHeight="1">
      <x:c r="A19" s="28" t="s">
        <x:v>27</x:v>
      </x:c>
      <x:c r="B19" s="28" t="s">
        <x:v>27</x:v>
      </x:c>
      <x:c r="C19" s="7">
        <x:v>1</x:v>
      </x:c>
      <x:c r="D19" s="29" t="s">
        <x:v>46</x:v>
      </x:c>
      <x:c r="E19" s="29" t="s">
        <x:v>46</x:v>
      </x:c>
      <x:c r="F19" s="29" t="s">
        <x:v>42</x:v>
      </x:c>
      <x:c r="G19" s="29" t="s">
        <x:v>42</x:v>
      </x:c>
      <x:c r="H19" s="29" t="s">
        <x:v>47</x:v>
      </x:c>
      <x:c r="I19" s="29" t="s">
        <x:v>48</x:v>
      </x:c>
      <x:c r="J19" s="29" t="s">
        <x:v>39</x:v>
      </x:c>
      <x:c r="K19" s="29" t="s">
        <x:v>49</x:v>
      </x:c>
      <x:c r="L19" s="29" t="s">
        <x:v>49</x:v>
      </x:c>
      <x:c r="M19" s="1"/>
      <x:c r="N19" s="1"/>
      <x:c r="O19" s="1"/>
      <x:c r="P19" s="1"/>
    </x:row>
    <x:row r="20" ht="52.04999923706055" customHeight="1">
      <x:c r="A20" s="28" t="s">
        <x:v>50</x:v>
      </x:c>
      <x:c r="B20" s="28" t="s">
        <x:v>50</x:v>
      </x:c>
      <x:c r="C20" s="7">
        <x:v>0.1</x:v>
      </x:c>
      <x:c r="D20" s="29" t="s">
        <x:v>51</x:v>
      </x:c>
      <x:c r="E20" s="29" t="s">
        <x:v>51</x:v>
      </x:c>
      <x:c r="F20" s="29" t="s">
        <x:v>52</x:v>
      </x:c>
      <x:c r="G20" s="29" t="s">
        <x:v>53</x:v>
      </x:c>
      <x:c r="H20" s="29" t="s">
        <x:v>54</x:v>
      </x:c>
      <x:c r="I20" s="29" t="s">
        <x:v>55</x:v>
      </x:c>
      <x:c r="J20" s="29" t="s">
        <x:v>39</x:v>
      </x:c>
      <x:c r="K20" s="29" t="s">
        <x:v>56</x:v>
      </x:c>
      <x:c r="L20" s="29" t="s">
        <x:v>56</x:v>
      </x:c>
      <x:c r="M20" s="1"/>
      <x:c r="N20" s="1"/>
      <x:c r="O20" s="1"/>
      <x:c r="P20" s="1"/>
    </x:row>
    <x:row r="21" ht="52.04999923706055" customHeight="1">
      <x:c r="A21" s="28" t="s">
        <x:v>50</x:v>
      </x:c>
      <x:c r="B21" s="28" t="s">
        <x:v>50</x:v>
      </x:c>
      <x:c r="C21" s="7">
        <x:v>0.2</x:v>
      </x:c>
      <x:c r="D21" s="29" t="s">
        <x:v>51</x:v>
      </x:c>
      <x:c r="E21" s="29" t="s">
        <x:v>51</x:v>
      </x:c>
      <x:c r="F21" s="29" t="s">
        <x:v>57</x:v>
      </x:c>
      <x:c r="G21" s="29" t="s">
        <x:v>53</x:v>
      </x:c>
      <x:c r="H21" s="29" t="s">
        <x:v>58</x:v>
      </x:c>
      <x:c r="I21" s="29" t="s">
        <x:v>59</x:v>
      </x:c>
      <x:c r="J21" s="29" t="s">
        <x:v>39</x:v>
      </x:c>
      <x:c r="K21" s="29" t="s">
        <x:v>60</x:v>
      </x:c>
      <x:c r="L21" s="29" t="s">
        <x:v>60</x:v>
      </x:c>
      <x:c r="M21" s="1"/>
      <x:c r="N21" s="1"/>
      <x:c r="O21" s="1"/>
      <x:c r="P21" s="1"/>
    </x:row>
    <x:row r="22" ht="52.04999923706055" customHeight="1">
      <x:c r="A22" s="28" t="s">
        <x:v>50</x:v>
      </x:c>
      <x:c r="B22" s="28" t="s">
        <x:v>50</x:v>
      </x:c>
      <x:c r="C22" s="7">
        <x:v>0.4</x:v>
      </x:c>
      <x:c r="D22" s="29" t="s">
        <x:v>51</x:v>
      </x:c>
      <x:c r="E22" s="29" t="s">
        <x:v>51</x:v>
      </x:c>
      <x:c r="F22" s="29" t="s">
        <x:v>61</x:v>
      </x:c>
      <x:c r="G22" s="29" t="s">
        <x:v>61</x:v>
      </x:c>
      <x:c r="H22" s="29" t="s">
        <x:v>62</x:v>
      </x:c>
      <x:c r="I22" s="29" t="s">
        <x:v>63</x:v>
      </x:c>
      <x:c r="J22" s="29" t="s">
        <x:v>39</x:v>
      </x:c>
      <x:c r="K22" s="29" t="s">
        <x:v>64</x:v>
      </x:c>
      <x:c r="L22" s="29" t="s">
        <x:v>64</x:v>
      </x:c>
      <x:c r="M22" s="1"/>
      <x:c r="N22" s="1"/>
      <x:c r="O22" s="1"/>
      <x:c r="P22" s="1"/>
    </x:row>
    <x:row r="23" ht="52.04999923706055" customHeight="1">
      <x:c r="A23" s="28" t="s">
        <x:v>50</x:v>
      </x:c>
      <x:c r="B23" s="28" t="s">
        <x:v>50</x:v>
      </x:c>
      <x:c r="C23" s="7">
        <x:v>1</x:v>
      </x:c>
      <x:c r="D23" s="29" t="s">
        <x:v>51</x:v>
      </x:c>
      <x:c r="E23" s="29" t="s">
        <x:v>51</x:v>
      </x:c>
      <x:c r="F23" s="29" t="s">
        <x:v>42</x:v>
      </x:c>
      <x:c r="G23" s="29" t="s">
        <x:v>42</x:v>
      </x:c>
      <x:c r="H23" s="29" t="s">
        <x:v>65</x:v>
      </x:c>
      <x:c r="I23" s="29" t="s">
        <x:v>66</x:v>
      </x:c>
      <x:c r="J23" s="29" t="s">
        <x:v>39</x:v>
      </x:c>
      <x:c r="K23" s="29" t="s">
        <x:v>67</x:v>
      </x:c>
      <x:c r="L23" s="29" t="s">
        <x:v>67</x:v>
      </x:c>
      <x:c r="M23" s="1"/>
      <x:c r="N23" s="1"/>
      <x:c r="O23" s="1"/>
      <x:c r="P23" s="1"/>
    </x:row>
    <x:row r="24" ht="15" customHeight="1">
      <x:c r="A24" s="33" t="s">
        <x:v>68</x:v>
      </x:c>
      <x:c r="B24" s="33" t="s">
        <x:v>69</x:v>
      </x:c>
      <x:c r="C24" s="33" t="s">
        <x:v>69</x:v>
      </x:c>
      <x:c r="D24" s="33" t="s">
        <x:v>69</x:v>
      </x:c>
      <x:c r="E24" s="33" t="s">
        <x:v>69</x:v>
      </x:c>
      <x:c r="F24" s="33" t="s">
        <x:v>69</x:v>
      </x:c>
      <x:c r="G24" s="33" t="s">
        <x:v>69</x:v>
      </x:c>
      <x:c r="H24" s="33" t="s">
        <x:v>69</x:v>
      </x:c>
      <x:c r="I24" s="33" t="s">
        <x:v>69</x:v>
      </x:c>
      <x:c r="J24" s="33" t="s">
        <x:v>69</x:v>
      </x:c>
      <x:c r="K24" s="33" t="s">
        <x:v>69</x:v>
      </x:c>
      <x:c r="L24" s="33" t="s">
        <x:v>69</x:v>
      </x:c>
      <x:c r="M24" s="1"/>
      <x:c r="N24" s="1"/>
      <x:c r="O24" s="1"/>
      <x:c r="P24" s="1"/>
    </x:row>
    <x:row r="25" ht="23.399999618530273" customHeight="1">
      <x:c r="A25" s="3" t="s">
        <x:v>70</x:v>
      </x:c>
      <x:c r="B25" s="3" t="s">
        <x:v>71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40.20000076293945" customHeight="1">
      <x:c r="A26" s="4" t="s">
        <x:v>72</x:v>
      </x:c>
      <x:c r="B26" s="5" t="str">
        <x:v>V_BP 主环控制 p_stack,out→p_bp,target；V_EGR 并行/协同控制 R_EGR 或 x_EGR。监督限制器联动检查两阀 Δp、OER、阀面积、S/露点和压缩机入口风险，先调回流，再保背压。</x:v>
      </x:c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36" customHeight="1">
      <x:c r="A27" s="4" t="s">
        <x:v>73</x:v>
      </x:c>
      <x:c r="B27" s="5" t="s">
        <x:v>74</x:v>
      </x:c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44.400001525878906" customHeight="1">
      <x:c r="A28" s="4" t="s">
        <x:v>75</x:v>
      </x:c>
      <x:c r="B28" s="5" t="str">
        <x:v>必须测 p_stack,out、p_split、p_EGR,up/down、p_env、p_bp,target、p_comp,in、m_return、m_exhaust、T/RH 和混合器露点；当前模型确认 p_stack,out≈p_split≈p_EGR,up，p_EGR,down≈p_comp,in。</x:v>
      </x:c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49.20000076293945" customHeight="1">
      <x:c r="A29" s="4" t="s">
        <x:v>76</x:v>
      </x:c>
      <x:c r="B29" s="5" t="s">
        <x:v>77</x:v>
      </x:c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57.59999847412109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15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15" customHeight="1">
      <x:c r="A32" s="1"/>
      <x:c r="B32" s="1"/>
      <x:c r="C32" s="1"/>
      <x:c r="D32" s="1"/>
    </x:row>
    <x:row r="33" ht="15" customHeight="1">
      <x:c r="A33" s="1"/>
      <x:c r="B33" s="1"/>
      <x:c r="C33" s="1"/>
      <x:c r="D33" s="1"/>
    </x:row>
    <x:row r="34" ht="15" customHeight="1">
      <x:c r="A34" s="1"/>
      <x:c r="B34" s="1"/>
      <x:c r="C34" s="1"/>
      <x:c r="D34" s="1"/>
    </x:row>
    <x:row r="35" ht="15" customHeight="1">
      <x:c r="A35" s="1"/>
      <x:c r="B35" s="1"/>
      <x:c r="C35" s="1"/>
      <x:c r="D35" s="1"/>
    </x:row>
    <x:row r="36" ht="15" customHeight="1">
      <x:c r="A36" s="1"/>
      <x:c r="B36" s="1"/>
      <x:c r="C36" s="1"/>
      <x:c r="D36" s="1"/>
    </x:row>
  </x:sheetData>
  <x:mergeCells>
    <x:mergeCell ref="A1:L1"/>
    <x:mergeCell ref="A2:L2"/>
    <x:mergeCell ref="A4:L4"/>
    <x:mergeCell ref="A24:L24"/>
    <x:mergeCell ref="A13:L13"/>
    <x:mergeCell ref="A14:L14"/>
    <x:mergeCell ref="A15:B15"/>
    <x:mergeCell ref="D15:E15"/>
    <x:mergeCell ref="F15:G15"/>
    <x:mergeCell ref="H15:I15"/>
    <x:mergeCell ref="J15:L15"/>
    <x:mergeCell ref="A16:B16"/>
    <x:mergeCell ref="D16:E16"/>
    <x:mergeCell ref="F16:G16"/>
    <x:mergeCell ref="H16:I16"/>
    <x:mergeCell ref="J16:L16"/>
    <x:mergeCell ref="A17:B17"/>
    <x:mergeCell ref="D17:E17"/>
    <x:mergeCell ref="F17:G17"/>
    <x:mergeCell ref="H17:I17"/>
    <x:mergeCell ref="J17:L17"/>
    <x:mergeCell ref="A18:B18"/>
    <x:mergeCell ref="D18:E18"/>
    <x:mergeCell ref="F18:G18"/>
    <x:mergeCell ref="H18:I18"/>
    <x:mergeCell ref="J18:L18"/>
    <x:mergeCell ref="A19:B19"/>
    <x:mergeCell ref="D19:E19"/>
    <x:mergeCell ref="F19:G19"/>
    <x:mergeCell ref="H19:I19"/>
    <x:mergeCell ref="J19:L19"/>
    <x:mergeCell ref="A20:B20"/>
    <x:mergeCell ref="D20:E20"/>
    <x:mergeCell ref="F20:G20"/>
    <x:mergeCell ref="H20:I20"/>
    <x:mergeCell ref="J20:L20"/>
    <x:mergeCell ref="A21:B21"/>
    <x:mergeCell ref="D21:E21"/>
    <x:mergeCell ref="F21:G21"/>
    <x:mergeCell ref="H21:I21"/>
    <x:mergeCell ref="J21:L21"/>
    <x:mergeCell ref="A22:B22"/>
    <x:mergeCell ref="D22:E22"/>
    <x:mergeCell ref="F22:G22"/>
    <x:mergeCell ref="H22:I22"/>
    <x:mergeCell ref="J22:L22"/>
    <x:mergeCell ref="A23:B23"/>
    <x:mergeCell ref="D23:E23"/>
    <x:mergeCell ref="F23:G23"/>
    <x:mergeCell ref="H23:I23"/>
    <x:mergeCell ref="J23:L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.600000381469727"/>
  <x:cols>
    <x:col min="1" max="1" width="24" style="2" customWidth="1"/>
    <x:col min="2" max="2" width="78.8984375" style="2" customWidth="1"/>
    <x:col min="3" max="3" width="34" style="2" customWidth="1"/>
    <x:col min="4" max="4" width="56" style="2" customWidth="1"/>
    <x:col min="5" max="5" width="58" style="2" customWidth="1"/>
    <x:col min="6" max="8" width="16" style="2" customWidth="1"/>
    <x:col min="9" max="33" width="8.796875" style="2" customWidth="0"/>
    <x:col min="34" max="37" width="22" style="2" customWidth="1"/>
    <x:col min="38" max="16384" width="8.796875" style="2" customWidth="0"/>
  </x:cols>
  <x:sheetData>
    <x:row r="1" ht="19.200000762939453" customHeight="1">
      <x:c r="A1" s="30" t="s">
        <x:v>78</x:v>
      </x:c>
      <x:c r="B1" s="30" t="s">
        <x:v>78</x:v>
      </x:c>
      <x:c r="C1" s="30" t="s">
        <x:v>78</x:v>
      </x:c>
      <x:c r="D1" s="30" t="s">
        <x:v>78</x:v>
      </x:c>
      <x:c r="E1" s="30" t="s">
        <x:v>78</x:v>
      </x:c>
      <x:c r="F1" s="30" t="s">
        <x:v>78</x:v>
      </x:c>
      <x:c r="G1" s="30" t="s">
        <x:v>78</x:v>
      </x:c>
      <x:c r="H1" s="30" t="s">
        <x:v>78</x:v>
      </x:c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</x:row>
    <x:row r="2" ht="15" customHeight="1">
      <x:c r="A2" s="31" t="str">
        <x:v>V-SH = Valve-passive circulation + Self-humidifying stack。当前正式模型采用“阴极出口后理想分流 + 两阀并联”：V_BP 向环境排气，V_EGR 回到压缩机入口混合器；本矩阵结果不使用旧的阀后分流/公共后边界拓扑。</x:v>
      </x:c>
      <x:c r="B2" s="31" t="str">
        <x:v>V-SH = Valve-passive circulation + Self-humidifying stack。当前正式模型采用“阴极出口后理想分流 + 两阀并联”：V_BP 向环境排气，V_EGR 回到压缩机入口混合器；本矩阵结果不使用旧的阀后分流/公共后边界拓扑。</x:v>
      </x:c>
      <x:c r="C2" s="31" t="str">
        <x:v>V-SH = Valve-passive circulation + Self-humidifying stack。当前正式模型采用“阴极出口后理想分流 + 两阀并联”：V_BP 向环境排气，V_EGR 回到压缩机入口混合器；本矩阵结果不使用旧的阀后分流/公共后边界拓扑。</x:v>
      </x:c>
      <x:c r="D2" s="31" t="str">
        <x:v>V-SH = Valve-passive circulation + Self-humidifying stack。当前正式模型采用“阴极出口后理想分流 + 两阀并联”：V_BP 向环境排气，V_EGR 回到压缩机入口混合器；本矩阵结果不使用旧的阀后分流/公共后边界拓扑。</x:v>
      </x:c>
      <x:c r="E2" s="31" t="str">
        <x:v>V-SH = Valve-passive circulation + Self-humidifying stack。当前正式模型采用“阴极出口后理想分流 + 两阀并联”：V_BP 向环境排气，V_EGR 回到压缩机入口混合器；本矩阵结果不使用旧的阀后分流/公共后边界拓扑。</x:v>
      </x:c>
      <x:c r="F2" s="31" t="str">
        <x:v>V-SH = Valve-passive circulation + Self-humidifying stack。当前正式模型采用“阴极出口后理想分流 + 两阀并联”：V_BP 向环境排气，V_EGR 回到压缩机入口混合器；本矩阵结果不使用旧的阀后分流/公共后边界拓扑。</x:v>
      </x:c>
      <x:c r="G2" s="31" t="str">
        <x:v>V-SH = Valve-passive circulation + Self-humidifying stack。当前正式模型采用“阴极出口后理想分流 + 两阀并联”：V_BP 向环境排气，V_EGR 回到压缩机入口混合器；本矩阵结果不使用旧的阀后分流/公共后边界拓扑。</x:v>
      </x:c>
      <x:c r="H2" s="31" t="str">
        <x:v>V-SH = Valve-passive circulation + Self-humidifying stack。当前正式模型采用“阴极出口后理想分流 + 两阀并联”：V_BP 向环境排气，V_EGR 回到压缩机入口混合器；本矩阵结果不使用旧的阀后分流/公共后边界拓扑。</x:v>
      </x:c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</x:row>
    <x:row r="3" ht="22.049999237060547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</x:row>
    <x:row r="4" ht="30" customHeight="1">
      <x:c r="A4" s="32" t="s">
        <x:v>79</x:v>
      </x:c>
      <x:c r="B4" s="32" t="s">
        <x:v>79</x:v>
      </x:c>
      <x:c r="C4" s="32" t="s">
        <x:v>79</x:v>
      </x:c>
      <x:c r="D4" s="32" t="s">
        <x:v>79</x:v>
      </x:c>
      <x:c r="E4" s="32" t="s">
        <x:v>79</x:v>
      </x:c>
      <x:c r="F4" s="39" t="s">
        <x:v>80</x:v>
      </x:c>
      <x:c r="G4" s="40" t="s">
        <x:v>79</x:v>
      </x:c>
      <x:c r="H4" s="40" t="s">
        <x:v>79</x:v>
      </x:c>
      <x:c r="I4" s="8"/>
      <x:c r="J4" s="8"/>
      <x:c r="K4" s="8"/>
      <x:c r="L4" s="8"/>
      <x:c r="M4" s="8"/>
      <x:c r="N4" s="8"/>
      <x:c r="O4" s="8"/>
      <x:c r="P4" s="8"/>
      <x:c r="Q4" s="9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</x:row>
    <x:row r="5" ht="15" customHeight="1">
      <x:c r="A5" s="3" t="s">
        <x:v>81</x:v>
      </x:c>
      <x:c r="B5" s="3" t="s">
        <x:v>82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</x:row>
    <x:row r="6" ht="70.19999694824219" customHeight="1">
      <x:c r="A6" s="4" t="s">
        <x:v>83</x:v>
      </x:c>
      <x:c r="B6" s="5" t="str">
        <x:v>新鲜空气 → 空压机入口混合器 → 空压机 → 中冷器 → PEMFC 电堆阴极 → 电堆阴极出口/理想分流节点；分流后两条并联支路：V_BP → 环境排气，V_EGR → 压缩机入口混合器 cEGR 口。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</x:row>
    <x:row r="7" ht="71.4000015258789" customHeight="1">
      <x:c r="A7" s="4" t="s">
        <x:v>84</x:v>
      </x:c>
      <x:c r="B7" s="5" t="str">
        <x:v>同一气相节点 1 进 2 出；三通/分流歧管本身不主动调流。p_stack,out≈p_split≈p_EGR,up 是两阀共同上游，p_EGR,down≈p_comp,in 是 cEGR 阀下游；两条支路下游边界独立，流量分配由两阀和支路阻力共同决定。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</x:row>
    <x:row r="8" ht="72" customHeight="1">
      <x:c r="A8" s="4" t="s">
        <x:v>85</x:v>
      </x:c>
      <x:c r="B8" s="5" t="str">
        <x:v>压力合同以正式 MAT 的 performance.pressure.chain 为准：p_stack,out≈p_split≈p_EGR,up，p_EGR,down≈p_comp,in；附录新增 p_split、p_EGR up/down、p_ambient、Δp_EGR、Δp_BP、Δp_path 及三项等式偏差。</x:v>
      </x:c>
      <x:c r="C8" s="1"/>
      <x:c r="D8" s="1"/>
      <x:c r="E8" s="1"/>
      <x:c r="F8" s="1"/>
      <x:c r="G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</x:row>
    <x:row r="9" ht="15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</x:row>
    <x:row r="10" ht="15" customHeight="1">
      <x:c r="A10" s="32" t="s">
        <x:v>86</x:v>
      </x:c>
      <x:c r="B10" s="32" t="s">
        <x:v>86</x:v>
      </x:c>
      <x:c r="C10" s="32" t="s">
        <x:v>86</x:v>
      </x:c>
      <x:c r="D10" s="32" t="s">
        <x:v>86</x:v>
      </x:c>
      <x:c r="E10" s="32" t="s">
        <x:v>86</x:v>
      </x:c>
      <x:c r="F10" s="32" t="s">
        <x:v>86</x:v>
      </x:c>
      <x:c r="G10" s="32" t="s">
        <x:v>86</x:v>
      </x:c>
      <x:c r="H10" s="32" t="s">
        <x:v>86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</x:row>
    <x:row r="11" ht="15" customHeight="1">
      <x:c r="A11" s="3" t="s">
        <x:v>87</x:v>
      </x:c>
      <x:c r="B11" s="3" t="s">
        <x:v>88</x:v>
      </x:c>
      <x:c r="C11" s="3" t="s">
        <x:v>89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</x:row>
    <x:row r="12" ht="40.20000076293945" customHeight="1">
      <x:c r="A12" s="4" t="s">
        <x:v>90</x:v>
      </x:c>
      <x:c r="B12" s="5" t="str">
        <x:v>V_BP 位于阴极出口分流节点的排气支路，阀后接环境 Reservoir；控制 p_stack,out≈p_bp,target。它不位于分流节点上游，也不把阀后与回流支路串成公共气相边界。</x:v>
      </x:c>
      <x:c r="C12" s="5" t="s">
        <x:v>91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</x:row>
    <x:row r="13" ht="40.79999923706055" customHeight="1">
      <x:c r="A13" s="4" t="s">
        <x:v>92</x:v>
      </x:c>
      <x:c r="B13" s="5" t="str">
        <x:v>V_EGR 位于同一分流节点的回流支路，阀后接 CompressorInletMixer.cEGR；控制 m_return、R_EGR 或 x_EGR。其驱动力来自分流节点与压缩机入口之间的压力差。</x:v>
      </x:c>
      <x:c r="C13" s="5" t="s">
        <x:v>93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</x:row>
    <x:row r="14" ht="15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</x:row>
    <x:row r="15" ht="15" customHeight="1">
      <x:c r="A15" s="32" t="s">
        <x:v>94</x:v>
      </x:c>
      <x:c r="B15" s="32" t="s">
        <x:v>94</x:v>
      </x:c>
      <x:c r="C15" s="32" t="s">
        <x:v>94</x:v>
      </x:c>
      <x:c r="D15" s="32" t="s">
        <x:v>94</x:v>
      </x:c>
      <x:c r="E15" s="32" t="s">
        <x:v>94</x:v>
      </x:c>
      <x:c r="F15" s="32" t="s">
        <x:v>94</x:v>
      </x:c>
      <x:c r="G15" s="32" t="s">
        <x:v>94</x:v>
      </x:c>
      <x:c r="H15" s="32" t="s">
        <x:v>94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</x:row>
    <x:row r="16" ht="15" customHeight="1">
      <x:c r="A16" s="3" t="s">
        <x:v>95</x:v>
      </x:c>
      <x:c r="B16" s="3" t="s">
        <x:v>96</x:v>
      </x:c>
      <x:c r="C16" s="3" t="s">
        <x:v>97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</x:row>
    <x:row r="17" ht="36" customHeight="1">
      <x:c r="A17" s="4" t="s">
        <x:v>98</x:v>
      </x:c>
      <x:c r="B17" s="5" t="str">
        <x:v>V_BP 主环：误差 = p_bp,target − p_stack,out；输出 V_BP 有效面积/开度。p_bp,target 是设定值，稳态时跟踪 p_stack,out，不是额外物理边界。</x:v>
      </x:c>
      <x:c r="C17" s="5" t="str">
        <x:v>优先保证电堆出口压力；与 V_EGR 回流环协调，带上下限和抗积分饱和。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</x:row>
    <x:row r="18" ht="44.400001525878906" customHeight="1">
      <x:c r="A18" s="4" t="s">
        <x:v>99</x:v>
      </x:c>
      <x:c r="B18" s="5" t="str">
        <x:v>V_EGR 协同环：误差 = R_EGR,target − R_EGR（或 x_EGR）；本次正式矩阵中总流量不变 j=0.1、R=4 因氧供给/质量分数边界失败，fresh-air 批次另有 6 个阀面积饱和跟踪失败。监督限制器必须保留 OER、Δp、面积、S 和露点边界。</x:v>
      </x:c>
      <x:c r="C18" s="5" t="str">
        <x:v>两阀要同时工作：V_BP 定压力，V_EGR 定回流；单独开一个阀不能完整调节 cEGR 能力。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</x:row>
    <x:row r="19" ht="48" customHeight="1">
      <x:c r="A19" s="4" t="s">
        <x:v>100</x:v>
      </x:c>
      <x:c r="B19" s="5" t="str">
        <x:v>监督限制器：当任一阀 Δp≤0、V_EGR 面积接近上限、OER&lt;1.2、S&gt;0.95 或露点裕度过低时，降回流/禁止命令，并保留 V_BP 背压控制。</x:v>
      </x:c>
      <x:c r="C19" s="5" t="s">
        <x:v>101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</x:row>
    <x:row r="20" ht="48" customHeight="1">
      <x:c r="A20" s="4" t="s">
        <x:v>102</x:v>
      </x:c>
      <x:c r="B20" s="5" t="s">
        <x:v>103</x:v>
      </x:c>
      <x:c r="C20" s="5" t="s">
        <x:v>104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</x:row>
    <x:row r="21" ht="15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</x:row>
    <x:row r="22" ht="15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</x:row>
    <x:row r="23" ht="15" customHeight="1">
      <x:c r="A23" s="32" t="s">
        <x:v>105</x:v>
      </x:c>
      <x:c r="B23" s="32" t="s">
        <x:v>106</x:v>
      </x:c>
      <x:c r="C23" s="32" t="s">
        <x:v>106</x:v>
      </x:c>
      <x:c r="D23" s="32" t="s">
        <x:v>106</x:v>
      </x:c>
      <x:c r="E23" s="32" t="s">
        <x:v>106</x:v>
      </x:c>
      <x:c r="F23" s="32" t="s">
        <x:v>106</x:v>
      </x:c>
      <x:c r="G23" s="32" t="s">
        <x:v>106</x:v>
      </x:c>
      <x:c r="H23" s="32" t="s">
        <x:v>106</x:v>
      </x:c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</x:row>
    <x:row r="24" ht="41.400001525878906" customHeight="1">
      <x:c r="A24" s="3" t="s">
        <x:v>107</x:v>
      </x:c>
      <x:c r="B24" s="3" t="s">
        <x:v>82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</x:row>
    <x:row r="25" ht="36" customHeight="1">
      <x:c r="A25" s="4" t="s">
        <x:v>108</x:v>
      </x:c>
      <x:c r="B25" s="5" t="s">
        <x:v>109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</x:row>
    <x:row r="26" ht="60" customHeight="1">
      <x:c r="A26" s="4" t="s">
        <x:v>110</x:v>
      </x:c>
      <x:c r="B26" s="5" t="s">
        <x:v>111</x:v>
      </x:c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</x:row>
    <x:row r="27" ht="36" customHeight="1">
      <x:c r="A27" s="4" t="s">
        <x:v>112</x:v>
      </x:c>
      <x:c r="B27" s="5" t="str">
        <x:v>实验系统必须区分 p_stack,out、p_split、p_EGR,up、p_EGR,down、p_env、p_bp,target 和 p_comp,in；只测一个压力不能闭合两阀协同控制解释。</x:v>
      </x:c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</x:row>
    <x:row r="28" ht="73.19999694824219" customHeight="1">
      <x:c r="A28" s="4" t="s">
        <x:v>113</x:v>
      </x:c>
      <x:c r="B28" s="5" t="s">
        <x:v>114</x:v>
      </x:c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</x:row>
    <x:row r="29" ht="15" customHeight="1"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</x:row>
    <x:row r="30" ht="15" customHeight="1"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</x:row>
    <x:row r="31" ht="36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</x:row>
    <x:row r="32" ht="36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</x:row>
    <x:row r="33" ht="6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</x:row>
    <x:row r="34" ht="15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</x:row>
    <x:row r="35" ht="22.049999237060547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</x:row>
    <x:row r="36" ht="15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</x:row>
    <x:row r="37" ht="15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</x:row>
    <x:row r="38" ht="15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</x:row>
    <x:row r="39" ht="15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</x:row>
    <x:row r="40" ht="15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</x:row>
    <x:row r="41" ht="15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</x:row>
    <x:row r="42" ht="15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</x:row>
    <x:row r="43" ht="15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</x:row>
    <x:row r="44" ht="15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</x:row>
    <x:row r="45" ht="15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</x:row>
    <x:row r="46" ht="15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</x:row>
    <x:row r="47" ht="15" customHeight="1"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</x:row>
    <x:row r="48" ht="15" customHeight="1"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</x:row>
    <x:row r="49" ht="15" customHeight="1"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</x:row>
    <x:row r="50" ht="15" customHeight="1"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</x:row>
    <x:row r="51" ht="15" customHeight="1"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</x:row>
    <x:row r="52" ht="15" customHeight="1"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</x:row>
    <x:row r="53" ht="42" customHeight="1"/>
    <x:row r="54" ht="42" customHeight="1"/>
  </x:sheetData>
  <x:mergeCells>
    <x:mergeCell ref="A23:H23"/>
    <x:mergeCell ref="A1:H1"/>
    <x:mergeCell ref="A2:H2"/>
    <x:mergeCell ref="A4:H4"/>
    <x:mergeCell ref="A10:H10"/>
    <x:mergeCell ref="A15:H15"/>
  </x:mergeCells>
  <x:conditionalFormatting sqref="AP5:AP10 AN11:AN13 AP14:AP17 AD18:AD18 AP19:AP21 AH22:AH27 AO28:AO28 AN29:AN29 AP30:AP45 AD46:AD52">
    <x:cfRule type="containsText" dxfId="2" priority="1" operator="containsText" text="candidate_feasible"/>
    <x:cfRule type="containsText" dxfId="1" priority="2" operator="containsText" text="not_acceptable"/>
    <x:cfRule type="containsText" dxfId="0" priority="3" operator="containsText" text="risk"/>
  </x:conditionalFormatting>
  <x:pageMargins left="0.7" right="0.7" top="0.75" bottom="0.75" header="0.3" footer="0.3"/>
  <x:drawing xmlns:r="http://schemas.openxmlformats.org/officeDocument/2006/relationships" r:id="Rfe56adfcf1cf46d7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.600000381469727"/>
  <x:cols>
    <x:col min="1" max="1" width="24" style="2" customWidth="1"/>
    <x:col min="2" max="2" width="34" style="2" customWidth="1"/>
    <x:col min="3" max="3" width="42" style="2" customWidth="1"/>
    <x:col min="4" max="4" width="44.5" style="2" customWidth="1"/>
    <x:col min="5" max="5" width="42" style="2" customWidth="1"/>
    <x:col min="6" max="6" width="48" style="2" customWidth="1"/>
    <x:col min="7" max="10" width="18" style="2" customWidth="1"/>
    <x:col min="11" max="12" width="26" style="2" customWidth="1"/>
    <x:col min="13" max="16384" width="8.796875" style="2" customWidth="0"/>
  </x:cols>
  <x:sheetData>
    <x:row r="1" ht="19.200000762939453" customHeight="1">
      <x:c r="A1" s="30" t="s">
        <x:v>115</x:v>
      </x:c>
      <x:c r="B1" s="42" t="s">
        <x:v>116</x:v>
      </x:c>
      <x:c r="C1" s="42" t="s">
        <x:v>116</x:v>
      </x:c>
      <x:c r="D1" s="42" t="s">
        <x:v>116</x:v>
      </x:c>
      <x:c r="E1" s="42" t="s">
        <x:v>116</x:v>
      </x:c>
      <x:c r="F1" s="42" t="s">
        <x:v>116</x:v>
      </x:c>
      <x:c r="G1" s="42" t="s">
        <x:v>116</x:v>
      </x:c>
      <x:c r="H1" s="42" t="s">
        <x:v>116</x:v>
      </x:c>
      <x:c r="I1" s="42" t="s">
        <x:v>116</x:v>
      </x:c>
      <x:c r="J1" s="42" t="s">
        <x:v>116</x:v>
      </x:c>
      <x:c r="K1" s="1"/>
      <x:c r="L1" s="1"/>
      <x:c r="M1" s="1"/>
      <x:c r="N1" s="1"/>
      <x:c r="O1" s="1"/>
      <x:c r="P1" s="1"/>
      <x:c r="Q1" s="1"/>
      <x:c r="R1" s="1"/>
    </x:row>
    <x:row r="2" ht="15" customHeight="1">
      <x:c r="A2" s="31" t="s">
        <x:v>117</x:v>
      </x:c>
      <x:c r="B2" s="31" t="s">
        <x:v>118</x:v>
      </x:c>
      <x:c r="C2" s="31" t="s">
        <x:v>118</x:v>
      </x:c>
      <x:c r="D2" s="31" t="s">
        <x:v>118</x:v>
      </x:c>
      <x:c r="E2" s="31" t="s">
        <x:v>118</x:v>
      </x:c>
      <x:c r="F2" s="31" t="s">
        <x:v>118</x:v>
      </x:c>
      <x:c r="G2" s="31" t="s">
        <x:v>118</x:v>
      </x:c>
      <x:c r="H2" s="31" t="s">
        <x:v>118</x:v>
      </x:c>
      <x:c r="I2" s="31" t="s">
        <x:v>118</x:v>
      </x:c>
      <x:c r="J2" s="31" t="s">
        <x:v>118</x:v>
      </x:c>
      <x:c r="K2" s="1"/>
      <x:c r="L2" s="1"/>
      <x:c r="M2" s="1"/>
      <x:c r="N2" s="1"/>
      <x:c r="O2" s="1"/>
      <x:c r="P2" s="1"/>
      <x:c r="Q2" s="1"/>
      <x:c r="R2" s="1"/>
    </x:row>
    <x:row r="3" ht="15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15" customHeight="1">
      <x:c r="A4" s="32" t="s">
        <x:v>119</x:v>
      </x:c>
      <x:c r="B4" s="32" t="s">
        <x:v>119</x:v>
      </x:c>
      <x:c r="C4" s="32" t="s">
        <x:v>119</x:v>
      </x:c>
      <x:c r="D4" s="32" t="s">
        <x:v>119</x:v>
      </x:c>
      <x:c r="E4" s="32" t="s">
        <x:v>119</x:v>
      </x:c>
      <x:c r="F4" s="32" t="s">
        <x:v>119</x:v>
      </x:c>
      <x:c r="G4" s="32" t="s">
        <x:v>119</x:v>
      </x:c>
      <x:c r="H4" s="32" t="s">
        <x:v>119</x:v>
      </x:c>
      <x:c r="I4" s="32" t="s">
        <x:v>119</x:v>
      </x:c>
      <x:c r="J4" s="32" t="s">
        <x:v>119</x:v>
      </x:c>
      <x:c r="K4" s="1"/>
      <x:c r="L4" s="1"/>
      <x:c r="M4" s="1"/>
      <x:c r="N4" s="1"/>
      <x:c r="O4" s="1"/>
      <x:c r="P4" s="1"/>
      <x:c r="Q4" s="1"/>
      <x:c r="R4" s="1"/>
    </x:row>
    <x:row r="5" ht="15" customHeight="1">
      <x:c r="A5" s="3" t="s">
        <x:v>120</x:v>
      </x:c>
      <x:c r="B5" s="3" t="s">
        <x:v>121</x:v>
      </x:c>
      <x:c r="C5" s="3" t="s">
        <x:v>122</x:v>
      </x:c>
      <x:c r="D5" s="3" t="s">
        <x:v>123</x:v>
      </x:c>
      <x:c r="E5" s="3" t="s">
        <x:v>124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15" customHeight="1">
      <x:c r="A6" s="4" t="s">
        <x:v>125</x:v>
      </x:c>
      <x:c r="B6" s="5" t="s">
        <x:v>126</x:v>
      </x:c>
      <x:c r="C6" s="5" t="s">
        <x:v>127</x:v>
      </x:c>
      <x:c r="D6" s="5" t="s">
        <x:v>128</x:v>
      </x:c>
      <x:c r="E6" s="5" t="s">
        <x:v>129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15" customHeight="1">
      <x:c r="A7" s="4" t="s">
        <x:v>130</x:v>
      </x:c>
      <x:c r="B7" s="5" t="s">
        <x:v>131</x:v>
      </x:c>
      <x:c r="C7" s="5" t="s">
        <x:v>127</x:v>
      </x:c>
      <x:c r="D7" s="5" t="s">
        <x:v>132</x:v>
      </x:c>
      <x:c r="E7" s="5" t="s">
        <x:v>133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15" customHeight="1">
      <x:c r="A8" s="4" t="s">
        <x:v>134</x:v>
      </x:c>
      <x:c r="B8" s="5" t="s">
        <x:v>135</x:v>
      </x:c>
      <x:c r="C8" s="5" t="s">
        <x:v>127</x:v>
      </x:c>
      <x:c r="D8" s="5" t="s">
        <x:v>136</x:v>
      </x:c>
      <x:c r="E8" s="5" t="s">
        <x:v>137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15" customHeight="1">
      <x:c r="A9" s="4" t="s">
        <x:v>138</x:v>
      </x:c>
      <x:c r="B9" s="5" t="s">
        <x:v>139</x:v>
      </x:c>
      <x:c r="C9" s="5" t="s">
        <x:v>127</x:v>
      </x:c>
      <x:c r="D9" s="5" t="s">
        <x:v>140</x:v>
      </x:c>
      <x:c r="E9" s="5" t="s">
        <x:v>141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15" customHeight="1">
      <x:c r="A10" s="4" t="s">
        <x:v>142</x:v>
      </x:c>
      <x:c r="B10" s="5" t="s">
        <x:v>143</x:v>
      </x:c>
      <x:c r="C10" s="5" t="s">
        <x:v>144</x:v>
      </x:c>
      <x:c r="D10" s="5" t="s">
        <x:v>145</x:v>
      </x:c>
      <x:c r="E10" s="5" t="s">
        <x:v>146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15" customHeight="1">
      <x:c r="A11" s="4" t="s">
        <x:v>147</x:v>
      </x:c>
      <x:c r="B11" s="5" t="s">
        <x:v>148</x:v>
      </x:c>
      <x:c r="C11" s="5" t="s">
        <x:v>144</x:v>
      </x:c>
      <x:c r="D11" s="5" t="s">
        <x:v>149</x:v>
      </x:c>
      <x:c r="E11" s="5" t="s">
        <x:v>150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15" customHeight="1">
      <x:c r="A12" s="4" t="s">
        <x:v>151</x:v>
      </x:c>
      <x:c r="B12" s="5" t="s">
        <x:v>152</x:v>
      </x:c>
      <x:c r="C12" s="5" t="s">
        <x:v>144</x:v>
      </x:c>
      <x:c r="D12" s="5" t="s">
        <x:v>153</x:v>
      </x:c>
      <x:c r="E12" s="5" t="s">
        <x:v>154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15" customHeight="1">
      <x:c r="A13" s="4" t="s">
        <x:v>155</x:v>
      </x:c>
      <x:c r="B13" s="5" t="str">
        <x:v>电堆阴极出口/分流节点共同上游；V_BP、V_EGR 上游</x:v>
      </x:c>
      <x:c r="C13" s="5" t="s">
        <x:v>156</x:v>
      </x:c>
      <x:c r="D13" s="5" t="s">
        <x:v>157</x:v>
      </x:c>
      <x:c r="E13" s="5" t="s">
        <x:v>158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15" customHeight="1">
      <x:c r="A14" s="4" t="s">
        <x:v>159</x:v>
      </x:c>
      <x:c r="B14" s="5" t="str">
        <x:v>阴极出口后的理想分流节点；≈ p_stack,out ≈ p_EGR,up</x:v>
      </x:c>
      <x:c r="C14" s="5" t="s">
        <x:v>156</x:v>
      </x:c>
      <x:c r="D14" s="5" t="s">
        <x:v>160</x:v>
      </x:c>
      <x:c r="E14" s="5" t="str">
        <x:v>解释共同上游与两支路分流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15" customHeight="1">
      <x:c r="A15" s="4" t="s">
        <x:v>161</x:v>
      </x:c>
      <x:c r="B15" s="5" t="str">
        <x:v>cEGR 阀两端：up=分流节点；down=混合器 cEGR 口</x:v>
      </x:c>
      <x:c r="C15" s="5" t="s">
        <x:v>156</x:v>
      </x:c>
      <x:c r="D15" s="5" t="s">
        <x:v>162</x:v>
      </x:c>
      <x:c r="E15" s="5" t="s">
        <x:v>163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15" customHeight="1">
      <x:c r="A16" s="4" t="s">
        <x:v>164</x:v>
      </x:c>
      <x:c r="B16" s="5" t="str">
        <x:v>Δp_EGR=p_EGR,up−p_EGR,down；另测 Δp_BP=p_split−p_env</x:v>
      </x:c>
      <x:c r="C16" s="5" t="s">
        <x:v>165</x:v>
      </x:c>
      <x:c r="D16" s="5" t="s">
        <x:v>166</x:v>
      </x:c>
      <x:c r="E16" s="5" t="s">
        <x:v>167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15" customHeight="1">
      <x:c r="A17" s="4" t="s">
        <x:v>168</x:v>
      </x:c>
      <x:c r="B17" s="5" t="str">
        <x:v>空压机入口混合点/cEGR 下游；本 case 101.325 kPa abs</x:v>
      </x:c>
      <x:c r="C17" s="5" t="s">
        <x:v>156</x:v>
      </x:c>
      <x:c r="D17" s="5" t="s">
        <x:v>169</x:v>
      </x:c>
      <x:c r="E17" s="5" t="s">
        <x:v>170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15" customHeight="1">
      <x:c r="A18" s="4" t="s">
        <x:v>171</x:v>
      </x:c>
      <x:c r="B18" s="5" t="str">
        <x:v>混合器 T/RH；用于露点和 S</x:v>
      </x:c>
      <x:c r="C18" s="5" t="s">
        <x:v>172</x:v>
      </x:c>
      <x:c r="D18" s="5" t="s">
        <x:v>173</x:v>
      </x:c>
      <x:c r="E18" s="5" t="s">
        <x:v>174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15" customHeight="1">
      <x:c r="A19" s="4" t="s">
        <x:v>175</x:v>
      </x:c>
      <x:c r="B19" s="5" t="s">
        <x:v>176</x:v>
      </x:c>
      <x:c r="C19" s="5" t="s">
        <x:v>127</x:v>
      </x:c>
      <x:c r="D19" s="5" t="s">
        <x:v>177</x:v>
      </x:c>
      <x:c r="E19" s="5" t="s">
        <x:v>178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15" customHeight="1">
      <x:c r="A20" s="4" t="s">
        <x:v>179</x:v>
      </x:c>
      <x:c r="B20" s="5" t="s">
        <x:v>180</x:v>
      </x:c>
      <x:c r="C20" s="5" t="s">
        <x:v>181</x:v>
      </x:c>
      <x:c r="D20" s="5" t="s">
        <x:v>182</x:v>
      </x:c>
      <x:c r="E20" s="5" t="s">
        <x:v>183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15" customHeight="1">
      <x:c r="A21" s="4" t="s">
        <x:v>184</x:v>
      </x:c>
      <x:c r="B21" s="5" t="s">
        <x:v>185</x:v>
      </x:c>
      <x:c r="C21" s="5" t="s">
        <x:v>186</x:v>
      </x:c>
      <x:c r="D21" s="5" t="s">
        <x:v>187</x:v>
      </x:c>
      <x:c r="E21" s="5" t="s">
        <x:v>188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15" customHeight="1">
      <x:c r="A22" s="4" t="s">
        <x:v>189</x:v>
      </x:c>
      <x:c r="B22" s="5" t="str">
        <x:v>m_return/(m_return+m_exhaust)；阴极出口分流两支路观察量</x:v>
      </x:c>
      <x:c r="C22" s="5" t="s">
        <x:v>127</x:v>
      </x:c>
      <x:c r="D22" s="5" t="str">
        <x:v>阴极出口分流两支路</x:v>
      </x:c>
      <x:c r="E22" s="5" t="s">
        <x:v>190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15" customHeight="1">
      <x:c r="A23" s="4" t="s">
        <x:v>191</x:v>
      </x:c>
      <x:c r="B23" s="5" t="str">
        <x:v>V_BP 阀后至环境排气；与 m_return 做流量闭合</x:v>
      </x:c>
      <x:c r="C23" s="5" t="s">
        <x:v>144</x:v>
      </x:c>
      <x:c r="D23" s="5" t="str">
        <x:v>V_BP 阀后至环境</x:v>
      </x:c>
      <x:c r="E23" s="5" t="s">
        <x:v>192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15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</x:row>
    <x:row r="25" ht="15" customHeight="1">
      <x:c r="A25" s="32" t="s">
        <x:v>193</x:v>
      </x:c>
      <x:c r="B25" s="32" t="s">
        <x:v>194</x:v>
      </x:c>
      <x:c r="C25" s="32" t="s">
        <x:v>194</x:v>
      </x:c>
      <x:c r="D25" s="32" t="s">
        <x:v>194</x:v>
      </x:c>
      <x:c r="E25" s="32" t="s">
        <x:v>194</x:v>
      </x:c>
      <x:c r="F25" s="32" t="s">
        <x:v>194</x:v>
      </x:c>
      <x:c r="G25" s="32" t="s">
        <x:v>194</x:v>
      </x:c>
      <x:c r="H25" s="32" t="s">
        <x:v>194</x:v>
      </x:c>
      <x:c r="I25" s="32" t="s">
        <x:v>194</x:v>
      </x:c>
      <x:c r="J25" s="32" t="s">
        <x:v>194</x:v>
      </x:c>
      <x:c r="K25" s="1"/>
      <x:c r="L25" s="1"/>
      <x:c r="M25" s="1"/>
      <x:c r="N25" s="1"/>
      <x:c r="O25" s="1"/>
      <x:c r="P25" s="1"/>
      <x:c r="Q25" s="1"/>
      <x:c r="R25" s="1"/>
    </x:row>
    <x:row r="26" ht="15" customHeight="1">
      <x:c r="A26" s="3" t="s">
        <x:v>87</x:v>
      </x:c>
      <x:c r="B26" s="3" t="s">
        <x:v>195</x:v>
      </x:c>
      <x:c r="C26" s="3" t="s">
        <x:v>196</x:v>
      </x:c>
      <x:c r="D26" s="3" t="s">
        <x:v>197</x:v>
      </x:c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</x:row>
    <x:row r="27" ht="60" customHeight="1">
      <x:c r="A27" s="4" t="s">
        <x:v>92</x:v>
      </x:c>
      <x:c r="B27" s="5" t="s">
        <x:v>198</x:v>
      </x:c>
      <x:c r="C27" s="5" t="s">
        <x:v>199</x:v>
      </x:c>
      <x:c r="D27" s="5" t="s">
        <x:v>200</x:v>
      </x:c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</x:row>
    <x:row r="28" ht="66.5999984741211" customHeight="1">
      <x:c r="A28" s="4" t="s">
        <x:v>90</x:v>
      </x:c>
      <x:c r="B28" s="5" t="str">
        <x:v>覆盖全阴极排气流量和目标 p_stack,out；需在低回流和高回流两端都保有调节余量，与 cEGR 阀协同而非替代 cEGR 控制</x:v>
      </x:c>
      <x:c r="C28" s="5" t="s">
        <x:v>201</x:v>
      </x:c>
      <x:c r="D28" s="5" t="s">
        <x:v>202</x:v>
      </x:c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</x:row>
    <x:row r="29" ht="55.20000076293945" customHeight="1">
      <x:c r="A29" s="4" t="s">
        <x:v>203</x:v>
      </x:c>
      <x:c r="B29" s="5" t="str">
        <x:v>承担 1 进 2 出的阴极出口分流；不主动调流，需给出局部阻力、支路布置和冷凝排液方向</x:v>
      </x:c>
      <x:c r="C29" s="5" t="s">
        <x:v>204</x:v>
      </x:c>
      <x:c r="D29" s="5" t="s">
        <x:v>205</x:v>
      </x:c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</x:row>
    <x:row r="30" ht="43.20000076293945" customHeight="1">
      <x:c r="A30" s="4" t="s">
        <x:v>206</x:v>
      </x:c>
      <x:c r="B30" s="5" t="s">
        <x:v>207</x:v>
      </x:c>
      <x:c r="C30" s="5" t="s">
        <x:v>208</x:v>
      </x:c>
      <x:c r="D30" s="5" t="s">
        <x:v>209</x:v>
      </x:c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 ht="36" customHeight="1">
      <x:c r="A31" s="4" t="s">
        <x:v>210</x:v>
      </x:c>
      <x:c r="B31" s="5" t="s">
        <x:v>211</x:v>
      </x:c>
      <x:c r="C31" s="5" t="s">
        <x:v>212</x:v>
      </x:c>
      <x:c r="D31" s="5" t="s">
        <x:v>213</x:v>
      </x:c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 ht="36" customHeight="1">
      <x:c r="A32" s="4" t="s">
        <x:v>214</x:v>
      </x:c>
      <x:c r="B32" s="5" t="s">
        <x:v>215</x:v>
      </x:c>
      <x:c r="C32" s="5" t="s">
        <x:v>216</x:v>
      </x:c>
      <x:c r="D32" s="5" t="s">
        <x:v>217</x:v>
      </x:c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 ht="15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 ht="15" customHeight="1">
      <x:c r="A34" s="32" t="s">
        <x:v>218</x:v>
      </x:c>
      <x:c r="B34" s="32" t="s">
        <x:v>219</x:v>
      </x:c>
      <x:c r="C34" s="32" t="s">
        <x:v>219</x:v>
      </x:c>
      <x:c r="D34" s="32" t="s">
        <x:v>219</x:v>
      </x:c>
      <x:c r="E34" s="32" t="s">
        <x:v>219</x:v>
      </x:c>
      <x:c r="F34" s="32" t="s">
        <x:v>219</x:v>
      </x:c>
      <x:c r="G34" s="32" t="s">
        <x:v>219</x:v>
      </x:c>
      <x:c r="H34" s="32" t="s">
        <x:v>219</x:v>
      </x:c>
      <x:c r="I34" s="32" t="s">
        <x:v>219</x:v>
      </x:c>
      <x:c r="J34" s="32" t="s">
        <x:v>219</x:v>
      </x:c>
      <x:c r="K34" s="1"/>
      <x:c r="L34" s="1"/>
      <x:c r="M34" s="1"/>
      <x:c r="N34" s="1"/>
      <x:c r="O34" s="1"/>
      <x:c r="P34" s="1"/>
      <x:c r="Q34" s="1"/>
      <x:c r="R34" s="1"/>
    </x:row>
    <x:row r="35" ht="15" customHeight="1">
      <x:c r="A35" s="3" t="s">
        <x:v>220</x:v>
      </x:c>
      <x:c r="B35" s="3" t="s">
        <x:v>221</x:v>
      </x:c>
      <x:c r="C35" s="3" t="s">
        <x:v>222</x:v>
      </x:c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 ht="51.599998474121094" customHeight="1">
      <x:c r="A36" s="4" t="s">
        <x:v>223</x:v>
      </x:c>
      <x:c r="B36" s="5" t="str">
        <x:v>p_stack,out≈p_split≈p_EGR,up（同一共同上游节点）；同时测 p_env 和 p_bp,target，避免把设定值误当成阀前压力</x:v>
      </x:c>
      <x:c r="C36" s="5" t="s">
        <x:v>224</x:v>
      </x:c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 ht="48.599998474121094" customHeight="1">
      <x:c r="A37" s="4" t="s">
        <x:v>225</x:v>
      </x:c>
      <x:c r="B37" s="5" t="str">
        <x:v>p_EGR,up、p_EGR,down、T_egr,up/down、m_return；计算局部 Δp_EGR、密度变化和真实回流能力</x:v>
      </x:c>
      <x:c r="C37" s="5" t="s">
        <x:v>226</x:v>
      </x:c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 ht="48" customHeight="1">
      <x:c r="A38" s="4" t="s">
        <x:v>227</x:v>
      </x:c>
      <x:c r="B38" s="5" t="str">
        <x:v>m_exhaust、T、p_env，必要时 RH/含液状态；确认 m_return+m_exhaust 与阴极出口总流量闭合</x:v>
      </x:c>
      <x:c r="C38" s="5" t="s">
        <x:v>228</x:v>
      </x:c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 ht="52.79999923706055" customHeight="1">
      <x:c r="A39" s="4" t="s">
        <x:v>229</x:v>
      </x:c>
      <x:c r="B39" s="5" t="str">
        <x:v>p_comp,in、T_mix、RH_mix、m_total、露点/冷凝状态；解释 cEGR 阀下游边界、空压机入口湿度和进液风险</x:v>
      </x:c>
      <x:c r="C39" s="5" t="s">
        <x:v>230</x:v>
      </x:c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  <x:row r="41" ht="22" customHeight="1">
      <x:c r="A41" s="70" t="str">
        <x:v>四、240 kW 阀门选型理由、推荐配置参数与询价建议</x:v>
      </x:c>
      <x:c r="B41" s="70" t="s">
        <x:v>194</x:v>
      </x:c>
      <x:c r="C41" s="70" t="s">
        <x:v>194</x:v>
      </x:c>
      <x:c r="D41" s="70" t="s">
        <x:v>194</x:v>
      </x:c>
      <x:c r="E41" s="70" t="s">
        <x:v>194</x:v>
      </x:c>
      <x:c r="F41" s="70" t="s">
        <x:v>194</x:v>
      </x:c>
      <x:c r="G41" s="70" t="s">
        <x:v>194</x:v>
      </x:c>
      <x:c r="H41" s="70" t="s">
        <x:v>194</x:v>
      </x:c>
      <x:c r="I41" s="70" t="s">
        <x:v>194</x:v>
      </x:c>
      <x:c r="J41" s="70" t="s">
        <x:v>194</x:v>
      </x:c>
    </x:row>
    <x:row r="42" ht="30" customHeight="1">
      <x:c r="A42" s="71" t="str">
        <x:v>部件</x:v>
      </x:c>
      <x:c r="B42" s="71" t="str">
        <x:v>选型理由</x:v>
      </x:c>
      <x:c r="C42" s="71" t="str">
        <x:v>推荐配置参数（240 kW）</x:v>
      </x:c>
      <x:c r="D42" s="71" t="str">
        <x:v>询价建议与证据边界</x:v>
      </x:c>
    </x:row>
    <x:row r="43" ht="126" customHeight="1">
      <x:c r="A43" s="72" t="str">
        <x:v>公共背压阀</x:v>
      </x:c>
      <x:c r="B43" s="48" t="str">
        <x:v>最大排放流量出现在 R_EGR=0；同时承担 p_stack,out/p_split 背压控制。因此应按全阴极排气流量选型，不能用 cEGR 小流量阀替代；需要与 cEGR 阀协同而不是同开度运行。</x:v>
      </x:c>
      <x:c r="C43" s="48" t="str">
        <x:v>设计流量 0–0.33 kg/s；240 kW 实测额定点约 0.2296 kg/s。上游 0.195–0.245 MPa abs，下游 0.090–0.105 MPa abs，设计压差约 90–145 kPa；热湿气体 50–100 °C，瞬态至少 130 °C。建议 60 mm 级连续比例阀，等效气体 Kvs 目标 ≥50 m³/h，带位置反馈。</x:v>
      </x:c>
      <x:c r="D43" s="48" t="str">
        <x:v>要求提供热湿空气条件下 Cv/Kv–开度–压差曲线，校核 0–0.33 kg/s 和 90–145 kPa 工况；同时确认泄漏等级、失电位、响应时间、驱动电压/接口、噪声与阀体压损。Kvs 仅为初选目标，不能替代厂家气体流量曲线。</x:v>
      </x:c>
    </x:row>
    <x:row r="44" ht="126" customHeight="1">
      <x:c r="A44" s="72" t="str">
        <x:v>cEGR 阀</x:v>
      </x:c>
      <x:c r="B44" s="48" t="str">
        <x:v>最大回流出现在 R_EGR=4、x_EGR=0.8；回流能力由分流点到空压机入口的压差、阀阻和支路共同决定。即使两阀局部 Δp 接近，也不能按相同开度或相同流量选型。</x:v>
      </x:c>
      <x:c r="C44" s="48" t="str">
        <x:v>设计回流流量 0–0.264 kg/s（总流量 0.33 kg/s、R_EGR≤4）；240 kW 实测额定总流量下回流约 0.184 kg/s。建议先按 60 mm 同平台起步；48 mm 可作为低流量调节优化备选，但须证明满流量裕度。等效气体 Kvs 目标 ≥40 m³/h；连续比例、位置反馈、湿气相兼容。</x:v>
      </x:c>
      <x:c r="D44" s="48" t="str">
        <x:v>要求提供 0–0.264 kg/s、90–145 kPa 压差下的流量曲线、最小稳定流量、可调比和低开度分辨率；确认湿热气体、冷凝液滴、低泄漏、失电关闭、响应时间、驱动与通信接口。当前液水库存/输运/排液尚未由模型闭合，必须单独验证。</x:v>
      </x:c>
    </x:row>
    <x:row r="45" ht="126" customHeight="1">
      <x:c r="A45" s="72" t="str">
        <x:v>两阀协同与附属边界</x:v>
      </x:c>
      <x:c r="B45" s="48" t="str">
        <x:v>V_BP 主环控制 p_stack,out/p_split，V_EGR 环控制 R_EGR 或 x_EGR；两阀共同改变阴极出口排放和回流分配，单独调一个阀不能完整表达 cEGR 能力。</x:v>
      </x:c>
      <x:c r="C45" s="48" t="str">
        <x:v>至少配置 p_stack,out、p_split、p_EGR,up/down、p_env、p_comp,in、m_return、m_exhaust、T/RH 和露点测点；监督限幅 OER、阀面积、Δp、S 和露点裕度。建议公共背压阀失电偏打开、cEGR 阀失电偏关闭，最终按停机保湿策略确认。</x:v>
      </x:c>
      <x:c r="D45" s="48" t="str">
        <x:v>询价时同时要求支路阻力、歧管/管路通径、低点排液、止回压降、含液容许和空压机进液防护条件；不得把模型 A_fraction 直接换算为实际 DN、Cv/Kv 或行程。以上是 240 kW 工程初选，尚未升级为产品额定或液水耐久验证。</x:v>
      </x:c>
    </x:row>
  </x:sheetData>
  <x:mergeCells>
    <x:mergeCell ref="A41:J41"/>
    <x:mergeCell ref="A1:J1"/>
    <x:mergeCell ref="A2:J2"/>
    <x:mergeCell ref="A4:J4"/>
    <x:mergeCell ref="A25:J25"/>
    <x:mergeCell ref="A34:J3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.600000381469727"/>
  <x:cols>
    <x:col min="1" max="1" width="30" style="2" customWidth="1"/>
    <x:col min="2" max="2" width="61.19921875" style="2" customWidth="1"/>
    <x:col min="3" max="3" width="70" style="2" customWidth="1"/>
    <x:col min="4" max="10" width="18" style="2" customWidth="1"/>
    <x:col min="11" max="12" width="14" style="2" customWidth="1"/>
    <x:col min="13" max="16384" width="8.796875" style="2" customWidth="0"/>
  </x:cols>
  <x:sheetData>
    <x:row r="1" ht="19.200000762939453" customHeight="1">
      <x:c r="A1" s="30" t="s">
        <x:v>231</x:v>
      </x:c>
      <x:c r="B1" s="30" t="s">
        <x:v>231</x:v>
      </x:c>
      <x:c r="C1" s="30" t="s">
        <x:v>231</x:v>
      </x:c>
      <x:c r="D1" s="30" t="s">
        <x:v>231</x:v>
      </x:c>
      <x:c r="E1" s="30" t="s">
        <x:v>231</x:v>
      </x:c>
      <x:c r="F1" s="30" t="s">
        <x:v>231</x:v>
      </x:c>
      <x:c r="G1" s="30" t="s">
        <x:v>231</x:v>
      </x:c>
      <x:c r="H1" s="30" t="s">
        <x:v>231</x:v>
      </x:c>
      <x:c r="I1" s="30" t="s">
        <x:v>231</x:v>
      </x:c>
      <x:c r="J1" s="30" t="s">
        <x:v>231</x:v>
      </x:c>
      <x:c r="K1" s="1"/>
      <x:c r="L1" s="1"/>
    </x:row>
    <x:row r="2" ht="15" customHeight="1">
      <x:c r="A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B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C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D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E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F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G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H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I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J2" s="31" t="str">
        <x:v>判据：S = p_H2O / p_sat(T)。当前正式矩阵共 51/52 个 case 完成；1 个氧供给/质量分数失败，fresh-air 批次有 10 个混合器过饱和/冷凝风险。此页只解释气相 L2 饱和/相变需求，不扩大为液滴输运、分离效率或压缩机耐液验证。</x:v>
      </x:c>
      <x:c r="K2" s="1"/>
      <x:c r="L2" s="1"/>
    </x:row>
    <x:row r="3" ht="15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15" customHeight="1">
      <x:c r="A4" s="32" t="s">
        <x:v>232</x:v>
      </x:c>
      <x:c r="B4" s="32" t="s">
        <x:v>232</x:v>
      </x:c>
      <x:c r="C4" s="32" t="s">
        <x:v>232</x:v>
      </x:c>
      <x:c r="D4" s="32" t="s">
        <x:v>232</x:v>
      </x:c>
      <x:c r="E4" s="32" t="s">
        <x:v>232</x:v>
      </x:c>
      <x:c r="F4" s="32" t="s">
        <x:v>232</x:v>
      </x:c>
      <x:c r="G4" s="32" t="s">
        <x:v>232</x:v>
      </x:c>
      <x:c r="H4" s="32" t="s">
        <x:v>232</x:v>
      </x:c>
      <x:c r="I4" s="32" t="s">
        <x:v>232</x:v>
      </x:c>
      <x:c r="J4" s="32" t="s">
        <x:v>232</x:v>
      </x:c>
      <x:c r="K4" s="1"/>
      <x:c r="L4" s="1"/>
    </x:row>
    <x:row r="5" ht="15" customHeight="1">
      <x:c r="A5" s="3" t="s">
        <x:v>233</x:v>
      </x:c>
      <x:c r="B5" s="3" t="s">
        <x:v>234</x:v>
      </x:c>
      <x:c r="C5" s="3" t="s">
        <x:v>97</x:v>
      </x:c>
      <x:c r="D5" s="1"/>
      <x:c r="E5" s="1"/>
      <x:c r="F5" s="1"/>
      <x:c r="G5" s="1"/>
      <x:c r="H5" s="1"/>
      <x:c r="I5" s="1"/>
      <x:c r="J5" s="1"/>
      <x:c r="K5" s="1"/>
      <x:c r="L5" s="1"/>
    </x:row>
    <x:row r="6" ht="15" customHeight="1">
      <x:c r="A6" s="4" t="s">
        <x:v>235</x:v>
      </x:c>
      <x:c r="B6" s="5" t="s">
        <x:v>236</x:v>
      </x:c>
      <x:c r="C6" s="5" t="s">
        <x:v>237</x:v>
      </x:c>
      <x:c r="D6" s="1"/>
      <x:c r="E6" s="1"/>
      <x:c r="F6" s="1"/>
      <x:c r="G6" s="1"/>
      <x:c r="H6" s="1"/>
      <x:c r="I6" s="1"/>
      <x:c r="J6" s="1"/>
      <x:c r="K6" s="1"/>
      <x:c r="L6" s="1"/>
    </x:row>
    <x:row r="7" ht="15" customHeight="1">
      <x:c r="A7" s="4" t="s">
        <x:v>238</x:v>
      </x:c>
      <x:c r="B7" s="5" t="s">
        <x:v>239</x:v>
      </x:c>
      <x:c r="C7" s="5" t="s">
        <x:v>240</x:v>
      </x:c>
      <x:c r="D7" s="1"/>
      <x:c r="E7" s="1"/>
      <x:c r="F7" s="1"/>
      <x:c r="G7" s="1"/>
      <x:c r="H7" s="1"/>
      <x:c r="I7" s="1"/>
      <x:c r="J7" s="1"/>
      <x:c r="K7" s="1"/>
      <x:c r="L7" s="1"/>
    </x:row>
    <x:row r="8" ht="15" customHeight="1">
      <x:c r="A8" s="4" t="s">
        <x:v>241</x:v>
      </x:c>
      <x:c r="B8" s="5" t="s">
        <x:v>242</x:v>
      </x:c>
      <x:c r="C8" s="5" t="s">
        <x:v>243</x:v>
      </x:c>
      <x:c r="D8" s="1"/>
      <x:c r="E8" s="1"/>
      <x:c r="F8" s="1"/>
      <x:c r="G8" s="1"/>
      <x:c r="H8" s="1"/>
      <x:c r="I8" s="1"/>
      <x:c r="J8" s="1"/>
      <x:c r="K8" s="1"/>
      <x:c r="L8" s="1"/>
    </x:row>
    <x:row r="9" ht="15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</x:row>
    <x:row r="10" ht="15" customHeight="1">
      <x:c r="A10" s="32" t="str">
        <x:v>当前正式矩阵分区摘要：total-flow 23/24 完成、9 个混合器冷凝风险；fresh-air 28/28 完成、10 个混合器冷凝风险。冷凝风险与局部数值通过是两套判据。</x:v>
      </x:c>
      <x:c r="B10" s="32" t="str">
        <x:v>当前正式矩阵分区摘要：total-flow 23/24 完成、9 个混合器冷凝风险；fresh-air 28/28 完成、10 个混合器冷凝风险。冷凝风险与局部数值通过是两套判据。</x:v>
      </x:c>
      <x:c r="C10" s="32" t="str">
        <x:v>当前正式矩阵分区摘要：total-flow 23/24 完成、9 个混合器冷凝风险；fresh-air 28/28 完成、10 个混合器冷凝风险。冷凝风险与局部数值通过是两套判据。</x:v>
      </x:c>
      <x:c r="D10" s="32" t="str">
        <x:v>当前正式矩阵分区摘要：total-flow 23/24 完成、9 个混合器冷凝风险；fresh-air 28/28 完成、10 个混合器冷凝风险。冷凝风险与局部数值通过是两套判据。</x:v>
      </x:c>
      <x:c r="E10" s="32" t="str">
        <x:v>当前正式矩阵分区摘要：total-flow 23/24 完成、9 个混合器冷凝风险；fresh-air 28/28 完成、10 个混合器冷凝风险。冷凝风险与局部数值通过是两套判据。</x:v>
      </x:c>
      <x:c r="F10" s="32" t="str">
        <x:v>当前正式矩阵分区摘要：total-flow 23/24 完成、9 个混合器冷凝风险；fresh-air 28/28 完成、10 个混合器冷凝风险。冷凝风险与局部数值通过是两套判据。</x:v>
      </x:c>
      <x:c r="G10" s="32" t="str">
        <x:v>当前正式矩阵分区摘要：total-flow 23/24 完成、9 个混合器冷凝风险；fresh-air 28/28 完成、10 个混合器冷凝风险。冷凝风险与局部数值通过是两套判据。</x:v>
      </x:c>
      <x:c r="H10" s="32" t="str">
        <x:v>当前正式矩阵分区摘要：total-flow 23/24 完成、9 个混合器冷凝风险；fresh-air 28/28 完成、10 个混合器冷凝风险。冷凝风险与局部数值通过是两套判据。</x:v>
      </x:c>
      <x:c r="I10" s="32" t="str">
        <x:v>当前正式矩阵分区摘要：total-flow 23/24 完成、9 个混合器冷凝风险；fresh-air 28/28 完成、10 个混合器冷凝风险。冷凝风险与局部数值通过是两套判据。</x:v>
      </x:c>
      <x:c r="J10" s="32" t="str">
        <x:v>当前正式矩阵分区摘要：total-flow 23/24 完成、9 个混合器冷凝风险；fresh-air 28/28 完成、10 个混合器冷凝风险。冷凝风险与局部数值通过是两套判据。</x:v>
      </x:c>
      <x:c r="K10" s="1"/>
      <x:c r="L10" s="1"/>
    </x:row>
    <x:row r="11" ht="15" customHeight="1">
      <x:c r="A11" s="3" t="s">
        <x:v>244</x:v>
      </x:c>
      <x:c r="B11" s="3" t="s">
        <x:v>245</x:v>
      </x:c>
      <x:c r="C11" s="3" t="s">
        <x:v>246</x:v>
      </x:c>
      <x:c r="D11" s="3" t="s">
        <x:v>247</x:v>
      </x:c>
      <x:c r="E11" s="3" t="s">
        <x:v>248</x:v>
      </x:c>
      <x:c r="F11" s="1"/>
      <x:c r="G11" s="1"/>
      <x:c r="H11" s="1"/>
      <x:c r="I11" s="1"/>
      <x:c r="J11" s="1"/>
      <x:c r="K11" s="1"/>
      <x:c r="L11" s="1"/>
    </x:row>
    <x:row r="12" ht="15" customHeight="1">
      <x:c r="A12" s="5" t="s">
        <x:v>249</x:v>
      </x:c>
      <x:c r="B12" s="22">
        <x:v>0.75027900000000003</x:v>
      </x:c>
      <x:c r="C12" s="23">
        <x:v>0</x:v>
      </x:c>
      <x:c r="D12" s="23">
        <x:v>5.6972839999999998</x:v>
      </x:c>
      <x:c r="E12" s="24">
        <x:v>0</x:v>
      </x:c>
      <x:c r="F12" s="1"/>
      <x:c r="G12" s="1"/>
      <x:c r="H12" s="1"/>
      <x:c r="I12" s="1"/>
      <x:c r="J12" s="1"/>
      <x:c r="K12" s="1"/>
      <x:c r="L12" s="1"/>
    </x:row>
    <x:row r="13" ht="15" customHeight="1">
      <x:c r="A13" s="5" t="s">
        <x:v>250</x:v>
      </x:c>
      <x:c r="B13" s="22">
        <x:v>0.96645000000000003</x:v>
      </x:c>
      <x:c r="C13" s="23">
        <x:v>0</x:v>
      </x:c>
      <x:c r="D13" s="23">
        <x:v>0.64513399999999999</x:v>
      </x:c>
      <x:c r="E13" s="24">
        <x:v>0</x:v>
      </x:c>
      <x:c r="F13" s="1"/>
      <x:c r="G13" s="1"/>
      <x:c r="H13" s="1"/>
      <x:c r="I13" s="1"/>
      <x:c r="J13" s="1"/>
      <x:c r="K13" s="1"/>
      <x:c r="L13" s="1"/>
    </x:row>
    <x:row r="14" ht="15" customHeight="1">
      <x:c r="A14" s="5" t="s">
        <x:v>251</x:v>
      </x:c>
      <x:c r="B14" s="22">
        <x:v>1.1525080000000001</x:v>
      </x:c>
      <x:c r="C14" s="23">
        <x:v>15.250770967542348</x:v>
      </x:c>
      <x:c r="D14" s="23">
        <x:v>-2.7730160000000001</x:v>
      </x:c>
      <x:c r="E14" s="24">
        <x:v>59.911921</x:v>
      </x:c>
      <x:c r="F14" s="1"/>
      <x:c r="G14" s="1"/>
      <x:c r="H14" s="1"/>
      <x:c r="I14" s="1"/>
      <x:c r="J14" s="1"/>
      <x:c r="K14" s="1"/>
      <x:c r="L14" s="1"/>
    </x:row>
    <x:row r="15" ht="15" customHeight="1">
      <x:c r="A15" s="5" t="s">
        <x:v>252</x:v>
      </x:c>
      <x:c r="B15" s="22">
        <x:v>1.2849029999999999</x:v>
      </x:c>
      <x:c r="C15" s="23">
        <x:v>28.490269800628475</x:v>
      </x:c>
      <x:c r="D15" s="23">
        <x:v>-4.7761610000000001</x:v>
      </x:c>
      <x:c r="E15" s="24">
        <x:v>93.902052999999995</x:v>
      </x:c>
      <x:c r="F15" s="1"/>
      <x:c r="G15" s="1"/>
      <x:c r="H15" s="1"/>
      <x:c r="I15" s="1"/>
      <x:c r="J15" s="1"/>
      <x:c r="K15" s="1"/>
      <x:c r="L15" s="1"/>
    </x:row>
    <x:row r="16" ht="15" customHeight="1">
      <x:c r="A16" s="5" t="s">
        <x:v>253</x:v>
      </x:c>
      <x:c r="B16" s="22">
        <x:v>0.63258300000000001</x:v>
      </x:c>
      <x:c r="C16" s="23">
        <x:v>0</x:v>
      </x:c>
      <x:c r="D16" s="23">
        <x:v>7.9436679999999997</x:v>
      </x:c>
      <x:c r="E16" s="24">
        <x:v>0</x:v>
      </x:c>
      <x:c r="F16" s="1"/>
      <x:c r="G16" s="1"/>
      <x:c r="H16" s="1"/>
      <x:c r="I16" s="1"/>
      <x:c r="J16" s="1"/>
      <x:c r="K16" s="1"/>
      <x:c r="L16" s="1"/>
    </x:row>
    <x:row r="17" ht="15" customHeight="1">
      <x:c r="A17" s="5" t="s">
        <x:v>254</x:v>
      </x:c>
      <x:c r="B17" s="22">
        <x:v>0.787713</x:v>
      </x:c>
      <x:c r="C17" s="23">
        <x:v>0</x:v>
      </x:c>
      <x:c r="D17" s="23">
        <x:v>4.2136279999999999</x:v>
      </x:c>
      <x:c r="E17" s="24">
        <x:v>0</x:v>
      </x:c>
      <x:c r="F17" s="1"/>
      <x:c r="G17" s="1"/>
      <x:c r="H17" s="1"/>
      <x:c r="I17" s="1"/>
      <x:c r="J17" s="1"/>
      <x:c r="K17" s="1"/>
      <x:c r="L17" s="1"/>
    </x:row>
    <x:row r="18" ht="15" customHeight="1">
      <x:c r="A18" s="5" t="s">
        <x:v>255</x:v>
      </x:c>
      <x:c r="B18" s="22">
        <x:v>1.0568679999999999</x:v>
      </x:c>
      <x:c r="C18" s="23">
        <x:v>5.6867923027215772</x:v>
      </x:c>
      <x:c r="D18" s="23">
        <x:v>-1.061544</x:v>
      </x:c>
      <x:c r="E18" s="24">
        <x:v>25.282278999999999</x:v>
      </x:c>
      <x:c r="F18" s="1"/>
      <x:c r="G18" s="1"/>
      <x:c r="H18" s="1"/>
      <x:c r="I18" s="1"/>
      <x:c r="J18" s="1"/>
      <x:c r="K18" s="1"/>
      <x:c r="L18" s="1"/>
    </x:row>
    <x:row r="19" ht="15" customHeight="1">
      <x:c r="A19" s="5" t="s">
        <x:v>256</x:v>
      </x:c>
      <x:c r="B19" s="22">
        <x:v>1.5986849999999999</x:v>
      </x:c>
      <x:c r="C19" s="23">
        <x:v>59.868470678382209</x:v>
      </x:c>
      <x:c r="D19" s="23">
        <x:v>-9.1906800000000004</x:v>
      </x:c>
      <x:c r="E19" s="24">
        <x:v>203.823543</x:v>
      </x:c>
      <x:c r="F19" s="1"/>
      <x:c r="G19" s="1"/>
      <x:c r="H19" s="1"/>
      <x:c r="I19" s="1"/>
      <x:c r="J19" s="1"/>
      <x:c r="K19" s="1"/>
      <x:c r="L19" s="1"/>
    </x:row>
    <x:row r="20" ht="15" customHeight="1">
      <x:c r="A20" s="1" t="str">
        <x:v>失败点/边界补算</x:v>
      </x:c>
      <x:c r="B20" s="1" t="str">
        <x:v>原正式矩阵：总流量不变-j0.1-R4</x:v>
      </x:c>
      <x:c r="C20" s="1" t="str">
        <x:v>正式失败：external240_total_flow_fixed_j0p1_R4p000；MAT 错误类别 oxygen_supply_mass_fraction_nonnegative。失稳前诊断显示 Cathode xC_i 的 O₂ 质量分数约 -2.84e-5、lambda_min≈0.9994；不通过放宽断言处理。</x:v>
      </x:c>
      <x:c r="D20" s="1"/>
      <x:c r="E20" s="1"/>
      <x:c r="F20" s="1"/>
      <x:c r="G20" s="1"/>
      <x:c r="H20" s="1"/>
      <x:c r="I20" s="1"/>
      <x:c r="J20" s="1"/>
      <x:c r="K20" s="1"/>
      <x:c r="L20" s="1"/>
    </x:row>
    <x:row r="21" ht="15" customHeight="1">
      <x:c r="A21" s="32" t="s">
        <x:v>257</x:v>
      </x:c>
      <x:c r="B21" s="32" t="s">
        <x:v>257</x:v>
      </x:c>
      <x:c r="C21" s="32" t="s">
        <x:v>257</x:v>
      </x:c>
      <x:c r="D21" s="32" t="s">
        <x:v>257</x:v>
      </x:c>
      <x:c r="E21" s="32" t="s">
        <x:v>257</x:v>
      </x:c>
      <x:c r="F21" s="32" t="s">
        <x:v>257</x:v>
      </x:c>
      <x:c r="G21" s="32" t="s">
        <x:v>257</x:v>
      </x:c>
      <x:c r="H21" s="32" t="s">
        <x:v>257</x:v>
      </x:c>
      <x:c r="I21" s="32" t="s">
        <x:v>257</x:v>
      </x:c>
      <x:c r="J21" s="32" t="s">
        <x:v>257</x:v>
      </x:c>
      <x:c r="K21" s="1"/>
      <x:c r="L21" s="1"/>
    </x:row>
    <x:row r="22" ht="15" customHeight="1">
      <x:c r="A22" s="3" t="s">
        <x:v>258</x:v>
      </x:c>
      <x:c r="B22" s="3" t="s">
        <x:v>259</x:v>
      </x:c>
      <x:c r="C22" s="1"/>
      <x:c r="D22" s="1"/>
      <x:c r="E22" s="1"/>
      <x:c r="F22" s="1"/>
      <x:c r="G22" s="1"/>
      <x:c r="H22" s="1"/>
      <x:c r="I22" s="1"/>
      <x:c r="J22" s="1"/>
      <x:c r="K22" s="1"/>
      <x:c r="L22" s="1"/>
    </x:row>
    <x:row r="23" ht="62.400001525878906" customHeight="1">
      <x:c r="A23" s="4" t="s">
        <x:v>260</x:v>
      </x:c>
      <x:c r="B23" s="5" t="s">
        <x:v>261</x:v>
      </x:c>
      <x:c r="C23" s="1"/>
      <x:c r="D23" s="1"/>
      <x:c r="E23" s="1"/>
      <x:c r="F23" s="1"/>
      <x:c r="G23" s="1"/>
      <x:c r="H23" s="1"/>
      <x:c r="I23" s="1"/>
      <x:c r="J23" s="1"/>
      <x:c r="K23" s="1"/>
      <x:c r="L23" s="1"/>
    </x:row>
    <x:row r="24" ht="49.20000076293945" customHeight="1">
      <x:c r="A24" s="4" t="s">
        <x:v>262</x:v>
      </x:c>
      <x:c r="B24" s="5" t="s">
        <x:v>263</x:v>
      </x:c>
      <x:c r="C24" s="1"/>
      <x:c r="D24" s="1"/>
      <x:c r="E24" s="1"/>
      <x:c r="F24" s="1"/>
      <x:c r="G24" s="1"/>
      <x:c r="H24" s="1"/>
      <x:c r="I24" s="1"/>
      <x:c r="J24" s="1"/>
      <x:c r="K24" s="1"/>
      <x:c r="L24" s="1"/>
    </x:row>
    <x:row r="25" ht="48" customHeight="1">
      <x:c r="A25" s="4" t="s">
        <x:v>264</x:v>
      </x:c>
      <x:c r="B25" s="5" t="s">
        <x:v>265</x:v>
      </x:c>
      <x:c r="C25" s="1"/>
      <x:c r="D25" s="1"/>
      <x:c r="E25" s="1"/>
      <x:c r="F25" s="1"/>
      <x:c r="G25" s="1"/>
      <x:c r="H25" s="1"/>
      <x:c r="I25" s="1"/>
      <x:c r="J25" s="1"/>
      <x:c r="K25" s="1"/>
      <x:c r="L25" s="1"/>
    </x:row>
    <x:row r="26" ht="57" customHeight="1">
      <x:c r="A26" s="4" t="s">
        <x:v>266</x:v>
      </x:c>
      <x:c r="B26" s="5" t="s">
        <x:v>267</x:v>
      </x:c>
      <x:c r="C26" s="1"/>
      <x:c r="D26" s="1"/>
      <x:c r="E26" s="1"/>
      <x:c r="F26" s="1"/>
      <x:c r="G26" s="1"/>
      <x:c r="H26" s="1"/>
      <x:c r="I26" s="1"/>
      <x:c r="J26" s="1"/>
      <x:c r="K26" s="1"/>
      <x:c r="L26" s="1"/>
    </x:row>
  </x:sheetData>
  <x:mergeCells>
    <x:mergeCell ref="A1:J1"/>
    <x:mergeCell ref="A2:J2"/>
    <x:mergeCell ref="A4:J4"/>
    <x:mergeCell ref="A10:J10"/>
    <x:mergeCell ref="A21:J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.600000381469727"/>
  <x:cols>
    <x:col min="1" max="1" width="20.19921875" style="2" customWidth="1"/>
    <x:col min="2" max="2" width="35.69921875" style="2" customWidth="1"/>
    <x:col min="3" max="3" width="6.3984375" style="2" customWidth="1"/>
    <x:col min="4" max="4" width="11.19921875" style="2" customWidth="1"/>
    <x:col min="5" max="5" width="8.69921875" style="2" customWidth="1"/>
    <x:col min="6" max="6" width="11.3984375" style="2" customWidth="1"/>
    <x:col min="7" max="8" width="10.19921875" style="2" customWidth="1"/>
    <x:col min="9" max="10" width="6.3984375" style="2" hidden="1" customWidth="1"/>
    <x:col min="11" max="12" width="10" style="2" customWidth="1"/>
    <x:col min="13" max="13" width="6.3984375" style="2" hidden="1" customWidth="1"/>
    <x:col min="14" max="14" width="13.19921875" style="2" customWidth="1"/>
    <x:col min="15" max="15" width="18.59765625" customWidth="1"/>
    <x:col min="16" max="16" width="20" customWidth="1"/>
    <x:col min="17" max="17" width="12.3984375" style="2" customWidth="1"/>
    <x:col min="18" max="18" width="12.3984375" style="2" hidden="1" customWidth="1"/>
    <x:col min="19" max="19" width="21.19921875" style="2" hidden="1" customWidth="1"/>
    <x:col min="20" max="20" width="12.5" style="2" customWidth="1"/>
    <x:col min="21" max="21" width="9.5" style="2" customWidth="1"/>
    <x:col min="22" max="22" width="18.19921875" style="2" customWidth="1"/>
    <x:col min="23" max="23" width="18" style="2" customWidth="1"/>
    <x:col min="24" max="24" width="19.3984375" style="2" customWidth="1"/>
    <x:col min="25" max="25" width="21.5" style="2" customWidth="1"/>
    <x:col min="26" max="26" width="19.3984375" style="2" customWidth="1"/>
    <x:col min="27" max="28" width="19.09765625" style="2" customWidth="1"/>
    <x:col min="29" max="29" width="11.3984375" style="2" customWidth="1"/>
    <x:col min="30" max="30" width="17.69921875" style="2" customWidth="1"/>
    <x:col min="31" max="31" width="11.19921875" style="2" customWidth="1"/>
    <x:col min="32" max="32" width="15.5" style="2" customWidth="1"/>
    <x:col min="33" max="33" width="13.5" style="2" customWidth="1"/>
    <x:col min="34" max="34" width="11.5" style="2" customWidth="1"/>
    <x:col min="35" max="35" width="13" style="2" hidden="1" customWidth="1"/>
    <x:col min="36" max="36" width="26.5" style="2" hidden="1" customWidth="1"/>
    <x:col min="37" max="37" width="13.69921875" style="2" customWidth="1"/>
    <x:col min="38" max="38" width="11.5" style="2" customWidth="1"/>
    <x:col min="39" max="39" width="26.5" style="2" hidden="1" customWidth="1"/>
    <x:col min="40" max="40" width="13.5" style="2" hidden="1" customWidth="1"/>
    <x:col min="41" max="41" width="11.19921875" style="2" hidden="1" customWidth="1"/>
    <x:col min="42" max="42" width="23.3984375" style="2" hidden="1" customWidth="1"/>
    <x:col min="43" max="43" width="26.69921875" style="2" hidden="1" customWidth="1"/>
    <x:col min="44" max="44" width="32" style="2" hidden="1" customWidth="1"/>
    <x:col min="45" max="45" width="7.09765625" style="2" hidden="1" customWidth="1"/>
    <x:col min="46" max="46" width="15.296875" style="2" hidden="1" customWidth="1"/>
    <x:col min="47" max="47" width="11.3984375" style="2" customWidth="1"/>
    <x:col min="48" max="48" width="13" style="2" hidden="1" customWidth="1"/>
    <x:col min="49" max="49" width="15.19921875" style="2" hidden="1" customWidth="1"/>
    <x:col min="50" max="50" width="14" style="2" customWidth="1"/>
    <x:col min="53" max="16384" width="8.796875" style="2" customWidth="0"/>
    <x:col min="51" max="51" width="13" hidden="0" customWidth="1"/>
    <x:col min="52" max="52" width="13" hidden="0" customWidth="1"/>
    <x:col min="53" max="53" width="13" hidden="0" customWidth="1"/>
    <x:col min="54" max="54" width="13" hidden="0" customWidth="1"/>
    <x:col min="55" max="55" width="13" hidden="0" customWidth="1"/>
    <x:col min="56" max="56" width="13" hidden="0" customWidth="1"/>
    <x:col min="57" max="57" width="13" hidden="0" customWidth="1"/>
    <x:col min="58" max="58" width="13" hidden="0" customWidth="1"/>
    <x:col min="59" max="59" width="13" hidden="0" customWidth="1"/>
    <x:col min="60" max="60" width="13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</x:cols>
  <x:sheetData>
    <x:row r="1" ht="21" customHeight="1">
      <x:c r="A1" s="25" t="str">
        <x:v>附录A：当前 V-SH 正确拓扑的 52 个正式 case 原始审计明细（20260820 重跑）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  <x:c r="P1" s="25"/>
      <x:c r="Q1" s="25"/>
      <x:c r="R1" s="25"/>
      <x:c r="S1" s="25"/>
      <x:c r="T1" s="25"/>
      <x:c r="U1" s="25"/>
      <x:c r="V1" s="25"/>
      <x:c r="W1" s="25"/>
      <x:c r="X1" s="25"/>
      <x:c r="Y1" s="25"/>
      <x:c r="Z1" s="25"/>
      <x:c r="AA1" s="25"/>
      <x:c r="AB1" s="25"/>
      <x:c r="AC1" s="25"/>
      <x:c r="AD1" s="25"/>
      <x:c r="AE1" s="25"/>
      <x:c r="AF1" s="25"/>
      <x:c r="AG1" s="25"/>
      <x:c r="AH1" s="25"/>
      <x:c r="AI1" s="25"/>
      <x:c r="AJ1" s="25"/>
      <x:c r="AK1" s="25"/>
      <x:c r="AL1" s="25"/>
      <x:c r="AM1" s="25"/>
      <x:c r="AN1" s="25"/>
      <x:c r="AO1" s="25"/>
      <x:c r="AP1" s="25"/>
      <x:c r="AQ1" s="25"/>
      <x:c r="AR1" s="25"/>
      <x:c r="AS1" s="25"/>
      <x:c r="AT1" s="25"/>
      <x:c r="AU1" s="25"/>
      <x:c r="AV1" s="25"/>
      <x:c r="AW1" s="25"/>
    </x:row>
    <x:row r="2" ht="15.600000381469727" customHeight="1">
      <x:c r="A2" s="26" t="str">
        <x:v>来源 MAT：RouteA_Focused_External240kW_VSH_PassiveCEGR_total_flow_fixed_4J_600s_20260820.mat（23/24 完成）与 RouteA_Focused_External240kW_VSH_PassiveCEGR_fresh_air_fixed_4J_600s_20260820.mat（28/28 完成）。正式证据边界：gas_phase_model_and_interface_behavior_only；失败、冷凝风险、阀面积饱和和局部通过分别记录。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  <x:c r="U2" s="26"/>
      <x:c r="V2" s="26"/>
      <x:c r="W2" s="26"/>
      <x:c r="X2" s="26"/>
      <x:c r="Y2" s="26"/>
      <x:c r="Z2" s="26"/>
      <x:c r="AA2" s="26"/>
      <x:c r="AB2" s="26"/>
      <x:c r="AC2" s="26"/>
      <x:c r="AD2" s="26"/>
      <x:c r="AE2" s="26"/>
      <x:c r="AF2" s="26"/>
      <x:c r="AG2" s="26"/>
      <x:c r="AH2" s="26"/>
      <x:c r="AI2" s="26"/>
      <x:c r="AJ2" s="26"/>
      <x:c r="AK2" s="26"/>
      <x:c r="AL2" s="26"/>
      <x:c r="AM2" s="26"/>
      <x:c r="AN2" s="26"/>
      <x:c r="AO2" s="26"/>
      <x:c r="AP2" s="26"/>
      <x:c r="AQ2" s="26"/>
      <x:c r="AR2" s="26"/>
      <x:c r="AS2" s="26"/>
      <x:c r="AT2" s="26"/>
      <x:c r="AU2" s="26"/>
      <x:c r="AV2" s="26"/>
      <x:c r="AW2" s="2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</x:row>
    <x:row r="4" ht="36">
      <x:c r="A4" s="13" t="s">
        <x:v>268</x:v>
      </x:c>
      <x:c r="B4" s="13" t="s">
        <x:v>269</x:v>
      </x:c>
      <x:c r="C4" s="13" t="s">
        <x:v>270</x:v>
      </x:c>
      <x:c r="D4" s="13" t="s">
        <x:v>271</x:v>
      </x:c>
      <x:c r="E4" s="13" t="s">
        <x:v>272</x:v>
      </x:c>
      <x:c r="F4" s="13" t="s">
        <x:v>273</x:v>
      </x:c>
      <x:c r="G4" s="13" t="s">
        <x:v>21</x:v>
      </x:c>
      <x:c r="H4" s="13" t="s">
        <x:v>274</x:v>
      </x:c>
      <x:c r="I4" s="13" t="s">
        <x:v>275</x:v>
      </x:c>
      <x:c r="J4" s="13" t="s">
        <x:v>276</x:v>
      </x:c>
      <x:c r="K4" s="13" t="s">
        <x:v>277</x:v>
      </x:c>
      <x:c r="L4" s="13" t="s">
        <x:v>278</x:v>
      </x:c>
      <x:c r="M4" s="13" t="s">
        <x:v>189</x:v>
      </x:c>
      <x:c r="N4" s="13" t="s">
        <x:v>279</x:v>
      </x:c>
      <x:c r="O4" s="13" t="s">
        <x:v>280</x:v>
      </x:c>
      <x:c r="P4" s="13" t="s">
        <x:v>281</x:v>
      </x:c>
      <x:c r="Q4" s="13" t="s">
        <x:v>282</x:v>
      </x:c>
      <x:c r="R4" s="13" t="s">
        <x:v>283</x:v>
      </x:c>
      <x:c r="S4" s="13" t="s">
        <x:v>284</x:v>
      </x:c>
      <x:c r="T4" s="13" t="s">
        <x:v>285</x:v>
      </x:c>
      <x:c r="U4" s="13" t="s">
        <x:v>286</x:v>
      </x:c>
      <x:c r="V4" s="13" t="s">
        <x:v>287</x:v>
      </x:c>
      <x:c r="W4" s="13" t="s">
        <x:v>288</x:v>
      </x:c>
      <x:c r="X4" s="13" t="s">
        <x:v>289</x:v>
      </x:c>
      <x:c r="Y4" s="13" t="s">
        <x:v>290</x:v>
      </x:c>
      <x:c r="Z4" s="13" t="s">
        <x:v>291</x:v>
      </x:c>
      <x:c r="AA4" s="13" t="s">
        <x:v>292</x:v>
      </x:c>
      <x:c r="AB4" s="13" t="s">
        <x:v>293</x:v>
      </x:c>
      <x:c r="AC4" s="13" t="s">
        <x:v>294</x:v>
      </x:c>
      <x:c r="AD4" s="13" t="s">
        <x:v>295</x:v>
      </x:c>
      <x:c r="AE4" s="13" t="s">
        <x:v>296</x:v>
      </x:c>
      <x:c r="AF4" s="13" t="s">
        <x:v>297</x:v>
      </x:c>
      <x:c r="AG4" s="13" t="s">
        <x:v>298</x:v>
      </x:c>
      <x:c r="AH4" s="13" t="s">
        <x:v>299</x:v>
      </x:c>
      <x:c r="AI4" s="13" t="s">
        <x:v>300</x:v>
      </x:c>
      <x:c r="AJ4" s="13" t="s">
        <x:v>301</x:v>
      </x:c>
      <x:c r="AK4" s="13" t="s">
        <x:v>302</x:v>
      </x:c>
      <x:c r="AL4" s="13" t="s">
        <x:v>303</x:v>
      </x:c>
      <x:c r="AM4" s="13" t="s">
        <x:v>304</x:v>
      </x:c>
      <x:c r="AN4" s="13" t="s">
        <x:v>305</x:v>
      </x:c>
      <x:c r="AO4" s="13" t="s">
        <x:v>306</x:v>
      </x:c>
      <x:c r="AP4" s="13" t="s">
        <x:v>307</x:v>
      </x:c>
      <x:c r="AQ4" s="13" t="s">
        <x:v>308</x:v>
      </x:c>
      <x:c r="AR4" s="13" t="s">
        <x:v>309</x:v>
      </x:c>
      <x:c r="AS4" s="13" t="s">
        <x:v>310</x:v>
      </x:c>
      <x:c r="AT4" s="13" t="s">
        <x:v>311</x:v>
      </x:c>
      <x:c r="AU4" s="13" t="s">
        <x:v>312</x:v>
      </x:c>
      <x:c r="AV4" s="13" t="s">
        <x:v>313</x:v>
      </x:c>
      <x:c r="AW4" s="13" t="s">
        <x:v>314</x:v>
      </x:c>
      <x:c r="AX4" s="2" t="s">
        <x:v>315</x:v>
      </x:c>
      <x:c r="AY4" s="73" t="str">
        <x:v>p_split (kPa abs)</x:v>
      </x:c>
      <x:c r="AZ4" s="73" t="str">
        <x:v>p_EGR,up (kPa abs)</x:v>
      </x:c>
      <x:c r="BA4" s="73" t="str">
        <x:v>p_EGR,down (kPa abs)</x:v>
      </x:c>
      <x:c r="BB4" s="73" t="str">
        <x:v>Δp_EGR (kPa)</x:v>
      </x:c>
      <x:c r="BC4" s="73" t="str">
        <x:v>Δp_BP (kPa)</x:v>
      </x:c>
      <x:c r="BD4" s="73" t="str">
        <x:v>Δp_path (kPa)</x:v>
      </x:c>
      <x:c r="BE4" s="73" t="str">
        <x:v>p_stack,out−p_split 偏差 (kPa)</x:v>
      </x:c>
      <x:c r="BF4" s="73" t="str">
        <x:v>p_split−p_EGR,up 偏差 (kPa)</x:v>
      </x:c>
      <x:c r="BG4" s="73" t="str">
        <x:v>p_EGR,down−p_comp,in 偏差 (kPa)</x:v>
      </x:c>
      <x:c r="BH4" s="73" t="str">
        <x:v>p_ambient (kPa abs)</x:v>
      </x:c>
      <x:c r="BI4" s="73" t="str">
        <x:v>数据来源（MAT/测点链）</x:v>
      </x:c>
      <x:c r="BJ4" s="73" t="str">
        <x:v>单位口径</x:v>
      </x:c>
      <x:c r="BK4" s="73" t="str">
        <x:v>测点位置/定义</x:v>
      </x:c>
      <x:c r="BL4" s="73" t="str">
        <x:v>失败类别</x:v>
      </x:c>
      <x:c r="BM4" s="73" t="str">
        <x:v>失败原因</x:v>
      </x:c>
    </x:row>
    <x:row r="5">
      <x:c r="A5" s="14" t="str">
        <x:v>总流量不变</x:v>
      </x:c>
      <x:c r="B5" s="14" t="str">
        <x:v>external240_total_flow_fixed_j0p1_R0p000</x:v>
      </x:c>
      <x:c r="C5" s="15" t="b">
        <x:v>1</x:v>
      </x:c>
      <x:c r="D5" s="15" t="b">
        <x:v>1</x:v>
      </x:c>
      <x:c r="E5" s="16" t="n">
        <x:v>0.1</x:v>
      </x:c>
      <x:c r="F5" s="16" t="n">
        <x:v>5</x:v>
      </x:c>
      <x:c r="G5" s="17" t="n">
        <x:v>0</x:v>
      </x:c>
      <x:c r="H5" s="17" t="n">
        <x:v>4.857957671925509e-7</x:v>
      </x:c>
      <x:c r="I5" s="17" t="n">
        <x:v>4.857957671925509e-7</x:v>
      </x:c>
      <x:c r="J5" s="17" t="n">
        <x:v>0.005</x:v>
      </x:c>
      <x:c r="K5" s="17" t="n">
        <x:v>0</x:v>
      </x:c>
      <x:c r="L5" s="17" t="n">
        <x:v>4.857955311951381e-7</x:v>
      </x:c>
      <x:c r="M5" s="17" t="n">
        <x:v>4.920791441924212e-7</x:v>
      </x:c>
      <x:c r="N5" s="18" t="n">
        <x:v>1.981956274565798e-8</x:v>
      </x:c>
      <x:c r="O5" s="27" t="n">
        <x:f>IF(G5=0,P5,IFERROR(N5/G5,""))</x:f>
        <x:v>0.040277165221849605</x:v>
      </x:c>
      <x:c r="P5" s="27" t="n">
        <x:v>0.040277165221849605</x:v>
      </x:c>
      <x:c r="Q5" s="17" t="n">
        <x:v>4.997030169550049</x:v>
      </x:c>
      <x:c r="R5" s="17" t="n">
        <x:v>4.997030169550049</x:v>
      </x:c>
      <x:c r="S5" s="14" t="str">
        <x:v>feasible_above_1p2</x:v>
      </x:c>
      <x:c r="T5" s="14" t="n">
        <x:v>0.7991668682517015</x:v>
      </x:c>
      <x:c r="U5" s="17" t="n">
        <x:v>9.999999999999997e-8</x:v>
      </x:c>
      <x:c r="V5" s="17" t="n">
        <x:v>40.00000000000002</x:v>
      </x:c>
      <x:c r="W5" s="17" t="n">
        <x:v>101.32500000000003</x:v>
      </x:c>
      <x:c r="X5" s="17" t="n">
        <x:v>144.8977893921032</x:v>
      </x:c>
      <x:c r="Y5" s="17" t="n">
        <x:v>144.84778650535387</x:v>
      </x:c>
      <x:c r="Z5" s="17" t="n">
        <x:v>144.84778650535387</x:v>
      </x:c>
      <x:c r="AA5" s="17" t="n">
        <x:v>141.32500000000002</x:v>
      </x:c>
      <x:c r="AB5" s="17" t="n">
        <x:v>141.32500000000005</x:v>
      </x:c>
      <x:c r="AC5" s="14" t="n">
        <x:v>0.08344488414900787</x:v>
      </x:c>
      <x:c r="AD5" s="17" t="n">
        <x:v>21.27817724328599</x:v>
      </x:c>
      <x:c r="AE5" s="19" t="n">
        <x:v>19.85692961043975</x:v>
      </x:c>
      <x:c r="AF5" s="19" t="n">
        <x:v>10.58469974030525</x:v>
      </x:c>
      <x:c r="AG5" s="17" t="n">
        <x:v>0.5044960732690219</x:v>
      </x:c>
      <x:c r="AH5" s="14" t="n">
        <x:v>0</x:v>
      </x:c>
      <x:c r="AI5" s="14" t="n">
        <x:v>0</x:v>
      </x:c>
      <x:c r="AJ5" s="14" t="str">
        <x:v>gas_phase_noncondensing</x:v>
      </x:c>
      <x:c r="AK5" s="14" t="n">
        <x:v>0.5193739270124805</x:v>
      </x:c>
      <x:c r="AL5" s="14" t="n">
        <x:v>0</x:v>
      </x:c>
      <x:c r="AM5" s="14" t="str">
        <x:v>gas_phase_noncondensing</x:v>
      </x:c>
      <x:c r="AN5" s="14"/>
      <x:c r="AO5" s="14"/>
      <x:c r="AP5" s="14" t="str">
        <x:v>not_applicable_ideal_connection</x:v>
      </x:c>
      <x:c r="AQ5" s="14" t="str">
        <x:v>not_applicable_zero_target</x:v>
      </x:c>
      <x:c r="AR5" s="14" t="str">
        <x:v>candidate_feasible_gas_phase_screen</x:v>
      </x:c>
      <x:c r="AS5" s="14" t="str"/>
      <x:c r="AT5" s="14" t="n">
        <x:f t="shared" ref="AT5:AT37" si="0">IFERROR(MAX(0,AG5-1)*100,"")</x:f>
        <x:v>0</x:v>
      </x:c>
      <x:c r="AU5" s="14" t="n">
        <x:f t="shared" ref="AU5:AU37" si="1">IFERROR(AH5*1000000,"")</x:f>
        <x:v>0</x:v>
      </x:c>
      <x:c r="AV5" s="14" t="n">
        <x:f t="shared" ref="AV5:AV37" si="2">IFERROR(AI5*1000000,"")</x:f>
        <x:v>0</x:v>
      </x:c>
      <x:c r="AW5" s="14" t="n">
        <x:f t="shared" ref="AW5:AW37" si="3">IFERROR((AB5-AA5)*1000,"")</x:f>
        <x:v>2.8421709430404007e-11</x:v>
      </x:c>
      <x:c r="AX5"/>
      <x:c r="AY5" s="57" t="n">
        <x:v>141.32500000000002</x:v>
      </x:c>
      <x:c r="AZ5" s="57" t="n">
        <x:v>141.32500000000002</x:v>
      </x:c>
      <x:c r="BA5" s="57" t="n">
        <x:v>101.32500000000003</x:v>
      </x:c>
      <x:c r="BB5" s="57" t="n">
        <x:f>IFERROR(AZ5-BA5,"")</x:f>
        <x:v>39.999999999999986</x:v>
      </x:c>
      <x:c r="BC5" s="57" t="n">
        <x:f>IFERROR(AY5-BH5,"")</x:f>
        <x:v>40.000000000000014</x:v>
      </x:c>
      <x:c r="BD5" s="57" t="n">
        <x:f>IFERROR(AB5-W5,"")</x:f>
        <x:v>40.000000000000014</x:v>
      </x:c>
      <x:c r="BE5" s="57" t="n">
        <x:f>IFERROR(AB5-AY5,"")</x:f>
        <x:v>2.842170943040401e-14</x:v>
      </x:c>
      <x:c r="BF5" s="57" t="n">
        <x:f>IFERROR(AY5-AZ5,"")</x:f>
        <x:v>0</x:v>
      </x:c>
      <x:c r="BG5" s="57" t="n">
        <x:f>IFERROR(BA5-W5,"")</x:f>
        <x:v>0</x:v>
      </x:c>
      <x:c r="BH5" s="57" t="n">
        <x:v>101.325</x:v>
      </x:c>
      <x:c r="BI5" s="56" t="str">
        <x:v>RouteA_Focused_External240kW_VSH_PassiveCEGR_total_flow_fixed_4J_600s_20260820.mat</x:v>
      </x:c>
      <x:c r="BJ5" s="56" t="str">
        <x:v>压力：kPa abs；压差/等式偏差：kPa；流量：kg/s</x:v>
      </x:c>
      <x:c r="BK5" s="56" t="str">
        <x:v>p_stack_out=cathode outlet chamber; p_split=ideal tee; p_EGR_up/down=cEGR valve ports; p_comp_in=compressor inlet mixer; p_ambient=environment reservoir</x:v>
      </x:c>
      <x:c r="BL5" s="56" t="str"/>
      <x:c r="BM5" s="56"/>
    </x:row>
    <x:row r="6">
      <x:c r="A6" s="14" t="str">
        <x:v>总流量不变</x:v>
      </x:c>
      <x:c r="B6" s="14" t="str">
        <x:v>external240_total_flow_fixed_j0p1_R0p400</x:v>
      </x:c>
      <x:c r="C6" s="15" t="b">
        <x:v>1</x:v>
      </x:c>
      <x:c r="D6" s="15" t="b">
        <x:v>1</x:v>
      </x:c>
      <x:c r="E6" s="16" t="n">
        <x:v>0.1</x:v>
      </x:c>
      <x:c r="F6" s="16" t="n">
        <x:v>5</x:v>
      </x:c>
      <x:c r="G6" s="17" t="n">
        <x:v>0.4</x:v>
      </x:c>
      <x:c r="H6" s="17" t="n">
        <x:v>0.39999999992605334</x:v>
      </x:c>
      <x:c r="I6" s="17" t="n">
        <x:v>-7.394668211091471e-11</x:v>
      </x:c>
      <x:c r="J6" s="17" t="n">
        <x:v>0.020000000000000004</x:v>
      </x:c>
      <x:c r="K6" s="17" t="n">
        <x:v>0.28571428571428575</x:v>
      </x:c>
      <x:c r="L6" s="17" t="n">
        <x:v>0.28571428567655777</x:v>
      </x:c>
      <x:c r="M6" s="17" t="n">
        <x:v>0.29115866162682297</x:v>
      </x:c>
      <x:c r="N6" s="18" t="n">
        <x:v>0.01165661651577426</x:v>
      </x:c>
      <x:c r="O6" s="27" t="n">
        <x:f>IF(G6=0,P6,IFERROR(N6/G6,""))</x:f>
        <x:v>0.02914154128943565</x:v>
      </x:c>
      <x:c r="P6" s="27" t="n">
        <x:v>0.028378656522795018</x:v>
      </x:c>
      <x:c r="Q6" s="17" t="n">
        <x:v>4.624672756469304</x:v>
      </x:c>
      <x:c r="R6" s="17" t="n">
        <x:v>4.624672756056709</x:v>
      </x:c>
      <x:c r="S6" s="14" t="str">
        <x:v>feasible_above_1p2</x:v>
      </x:c>
      <x:c r="T6" s="14" t="n">
        <x:v>0.7982110507011413</x:v>
      </x:c>
      <x:c r="U6" s="17" t="n">
        <x:v>0.0595273741382272</x:v>
      </x:c>
      <x:c r="V6" s="17" t="n">
        <x:v>39.99999999943893</x:v>
      </x:c>
      <x:c r="W6" s="17" t="n">
        <x:v>101.32500000000003</x:v>
      </x:c>
      <x:c r="X6" s="17" t="n">
        <x:v>144.87596882742247</x:v>
      </x:c>
      <x:c r="Y6" s="17" t="n">
        <x:v>144.82596594067323</x:v>
      </x:c>
      <x:c r="Z6" s="17" t="n">
        <x:v>144.82596594067323</x:v>
      </x:c>
      <x:c r="AA6" s="17" t="n">
        <x:v>141.32500000000002</x:v>
      </x:c>
      <x:c r="AB6" s="17" t="n">
        <x:v>141.32499999943894</x:v>
      </x:c>
      <x:c r="AC6" s="14" t="n">
        <x:v>0.23858741229647898</x:v>
      </x:c>
      <x:c r="AD6" s="17" t="n">
        <x:v>19.497570913836093</x:v>
      </x:c>
      <x:c r="AE6" s="19" t="n">
        <x:v>31.749643426298633</x:v>
      </x:c>
      <x:c r="AF6" s="19" t="n">
        <x:v>5.843258139970075</x:v>
      </x:c>
      <x:c r="AG6" s="17" t="n">
        <x:v>0.7128773857286976</x:v>
      </x:c>
      <x:c r="AH6" s="14" t="n">
        <x:v>0</x:v>
      </x:c>
      <x:c r="AI6" s="14" t="n">
        <x:v>0</x:v>
      </x:c>
      <x:c r="AJ6" s="14" t="str">
        <x:v>gas_phase_noncondensing</x:v>
      </x:c>
      <x:c r="AK6" s="14" t="n">
        <x:v>0.606330177312213</x:v>
      </x:c>
      <x:c r="AL6" s="14" t="n">
        <x:v>0</x:v>
      </x:c>
      <x:c r="AM6" s="14" t="str">
        <x:v>gas_phase_noncondensing</x:v>
      </x:c>
      <x:c r="AN6" s="14"/>
      <x:c r="AO6" s="14"/>
      <x:c r="AP6" s="14" t="str">
        <x:v>not_applicable_ideal_connection</x:v>
      </x:c>
      <x:c r="AQ6" s="14" t="str">
        <x:v>within_control_tolerance</x:v>
      </x:c>
      <x:c r="AR6" s="14" t="str">
        <x:v>candidate_feasible_gas_phase_screen</x:v>
      </x:c>
      <x:c r="AS6" s="14" t="str"/>
      <x:c r="AT6" s="14" t="n">
        <x:f t="shared" si="0">IFERROR(MAX(0,AG6-1)*100,"")</x:f>
        <x:v>0</x:v>
      </x:c>
      <x:c r="AU6" s="14" t="n">
        <x:f t="shared" si="1">IFERROR(AH6*1000000,"")</x:f>
        <x:v>0</x:v>
      </x:c>
      <x:c r="AV6" s="14" t="n">
        <x:f t="shared" si="2">IFERROR(AI6*1000000,"")</x:f>
        <x:v>0</x:v>
      </x:c>
      <x:c r="AW6" s="14" t="n">
        <x:f t="shared" si="3">IFERROR((AB6-AA6)*1000,"")</x:f>
        <x:v>-5.610729658656055e-7</x:v>
      </x:c>
      <x:c r="AX6"/>
      <x:c r="AY6" s="57" t="n">
        <x:v>141.3249999994389</x:v>
      </x:c>
      <x:c r="AZ6" s="57" t="n">
        <x:v>141.3249999994389</x:v>
      </x:c>
      <x:c r="BA6" s="57" t="n">
        <x:v>101.32500000000003</x:v>
      </x:c>
      <x:c r="BB6" s="57" t="n">
        <x:f>IFERROR(AZ6-BA6,"")</x:f>
        <x:v>39.999999999438856</x:v>
      </x:c>
      <x:c r="BC6" s="57" t="n">
        <x:f>IFERROR(AY6-BH6,"")</x:f>
        <x:v>39.999999999438884</x:v>
      </x:c>
      <x:c r="BD6" s="57" t="n">
        <x:f>IFERROR(AB6-W6,"")</x:f>
        <x:v>39.99999999943891</x:v>
      </x:c>
      <x:c r="BE6" s="57" t="n">
        <x:f>IFERROR(AB6-AY6,"")</x:f>
        <x:v>5.684341886080802e-14</x:v>
      </x:c>
      <x:c r="BF6" s="57" t="n">
        <x:f>IFERROR(AY6-AZ6,"")</x:f>
        <x:v>0</x:v>
      </x:c>
      <x:c r="BG6" s="57" t="n">
        <x:f>IFERROR(BA6-W6,"")</x:f>
        <x:v>0</x:v>
      </x:c>
      <x:c r="BH6" s="57" t="n">
        <x:v>101.325</x:v>
      </x:c>
      <x:c r="BI6" s="56" t="str">
        <x:v>RouteA_Focused_External240kW_VSH_PassiveCEGR_total_flow_fixed_4J_600s_20260820.mat</x:v>
      </x:c>
      <x:c r="BJ6" s="56" t="str">
        <x:v>压力：kPa abs；压差/等式偏差：kPa；流量：kg/s</x:v>
      </x:c>
      <x:c r="BK6" s="56" t="str">
        <x:v>p_stack_out=cathode outlet chamber; p_split=ideal tee; p_EGR_up/down=cEGR valve ports; p_comp_in=compressor inlet mixer; p_ambient=environment reservoir</x:v>
      </x:c>
      <x:c r="BL6" s="56" t="str"/>
      <x:c r="BM6" s="56"/>
    </x:row>
    <x:row r="7">
      <x:c r="A7" s="14" t="str">
        <x:v>总流量不变</x:v>
      </x:c>
      <x:c r="B7" s="14" t="str">
        <x:v>external240_total_flow_fixed_j0p1_R1p000</x:v>
      </x:c>
      <x:c r="C7" s="15" t="b">
        <x:v>1</x:v>
      </x:c>
      <x:c r="D7" s="15" t="b">
        <x:v>1</x:v>
      </x:c>
      <x:c r="E7" s="16" t="n">
        <x:v>0.1</x:v>
      </x:c>
      <x:c r="F7" s="16" t="n">
        <x:v>5</x:v>
      </x:c>
      <x:c r="G7" s="17" t="n">
        <x:v>1</x:v>
      </x:c>
      <x:c r="H7" s="17" t="n">
        <x:v>0.9999999787316814</x:v>
      </x:c>
      <x:c r="I7" s="17" t="n">
        <x:v>-2.1268318550760057e-8</x:v>
      </x:c>
      <x:c r="J7" s="17" t="n">
        <x:v>0.05</x:v>
      </x:c>
      <x:c r="K7" s="17" t="n">
        <x:v>0.5</x:v>
      </x:c>
      <x:c r="L7" s="17" t="n">
        <x:v>0.4999999946829204</x:v>
      </x:c>
      <x:c r="M7" s="17" t="n">
        <x:v>0.5131338181608889</x:v>
      </x:c>
      <x:c r="N7" s="18" t="n">
        <x:v>0.020399078662420248</x:v>
      </x:c>
      <x:c r="O7" s="27" t="n">
        <x:f>IF(G7=0,P7,IFERROR(N7/G7,""))</x:f>
        <x:v>0.020399078662420248</x:v>
      </x:c>
      <x:c r="P7" s="27" t="n">
        <x:v>0.01935483725669052</x:v>
      </x:c>
      <x:c r="Q7" s="17" t="n">
        <x:v>4.077894190703362</x:v>
      </x:c>
      <x:c r="R7" s="17" t="n">
        <x:v>4.077894079111471</x:v>
      </x:c>
      <x:c r="S7" s="14" t="str">
        <x:v>feasible_above_1p2</x:v>
      </x:c>
      <x:c r="T7" s="14" t="n">
        <x:v>0.7967091446135419</x:v>
      </x:c>
      <x:c r="U7" s="17" t="n">
        <x:v>0.10318669842882887</x:v>
      </x:c>
      <x:c r="V7" s="17" t="n">
        <x:v>40.00000024454025</x:v>
      </x:c>
      <x:c r="W7" s="17" t="n">
        <x:v>101.32500000000003</x:v>
      </x:c>
      <x:c r="X7" s="17" t="n">
        <x:v>144.8506054337189</x:v>
      </x:c>
      <x:c r="Y7" s="17" t="n">
        <x:v>144.80060254709835</x:v>
      </x:c>
      <x:c r="Z7" s="17" t="n">
        <x:v>144.80060254709835</x:v>
      </x:c>
      <x:c r="AA7" s="17" t="n">
        <x:v>141.32500000000002</x:v>
      </x:c>
      <x:c r="AB7" s="17" t="n">
        <x:v>141.32500024454026</x:v>
      </x:c>
      <x:c r="AC7" s="14" t="n">
        <x:v>0.39679222377036655</x:v>
      </x:c>
      <x:c r="AD7" s="17" t="n">
        <x:v>17.0007710010443</x:v>
      </x:c>
      <x:c r="AE7" s="19" t="n">
        <x:v>40.55230619331661</x:v>
      </x:c>
      <x:c r="AF7" s="19" t="n">
        <x:v>5.761300466869713</x:v>
      </x:c>
      <x:c r="AG7" s="17" t="n">
        <x:v>0.7315981777886265</x:v>
      </x:c>
      <x:c r="AH7" s="14" t="n">
        <x:v>0</x:v>
      </x:c>
      <x:c r="AI7" s="14" t="n">
        <x:v>0</x:v>
      </x:c>
      <x:c r="AJ7" s="14" t="str">
        <x:v>gas_phase_noncondensing</x:v>
      </x:c>
      <x:c r="AK7" s="14" t="n">
        <x:v>0.6897777237200206</x:v>
      </x:c>
      <x:c r="AL7" s="14" t="n">
        <x:v>0</x:v>
      </x:c>
      <x:c r="AM7" s="14" t="str">
        <x:v>gas_phase_noncondensing</x:v>
      </x:c>
      <x:c r="AN7" s="14"/>
      <x:c r="AO7" s="14"/>
      <x:c r="AP7" s="14" t="str">
        <x:v>not_applicable_ideal_connection</x:v>
      </x:c>
      <x:c r="AQ7" s="14" t="str">
        <x:v>within_control_tolerance</x:v>
      </x:c>
      <x:c r="AR7" s="14" t="str">
        <x:v>candidate_feasible_gas_phase_screen</x:v>
      </x:c>
      <x:c r="AS7" s="14" t="str"/>
      <x:c r="AT7" s="14" t="n">
        <x:f t="shared" si="0">IFERROR(MAX(0,AG7-1)*100,"")</x:f>
        <x:v>0</x:v>
      </x:c>
      <x:c r="AU7" s="14" t="n">
        <x:f t="shared" si="1">IFERROR(AH7*1000000,"")</x:f>
        <x:v>0</x:v>
      </x:c>
      <x:c r="AV7" s="14" t="n">
        <x:f t="shared" si="2">IFERROR(AI7*1000000,"")</x:f>
        <x:v>0</x:v>
      </x:c>
      <x:c r="AW7" s="14" t="n">
        <x:f t="shared" si="3">IFERROR((AB7-AA7)*1000,"")</x:f>
        <x:v>0.00024454024583064893</x:v>
      </x:c>
      <x:c r="AX7"/>
      <x:c r="AY7" s="57" t="n">
        <x:v>141.32500024454023</x:v>
      </x:c>
      <x:c r="AZ7" s="57" t="n">
        <x:v>141.32500024454023</x:v>
      </x:c>
      <x:c r="BA7" s="57" t="n">
        <x:v>101.32500000000003</x:v>
      </x:c>
      <x:c r="BB7" s="57" t="n">
        <x:f>IFERROR(AZ7-BA7,"")</x:f>
        <x:v>40.0000002445402</x:v>
      </x:c>
      <x:c r="BC7" s="57" t="n">
        <x:f>IFERROR(AY7-BH7,"")</x:f>
        <x:v>40.00000024454023</x:v>
      </x:c>
      <x:c r="BD7" s="57" t="n">
        <x:f>IFERROR(AB7-W7,"")</x:f>
        <x:v>40.00000024454023</x:v>
      </x:c>
      <x:c r="BE7" s="57" t="n">
        <x:f>IFERROR(AB7-AY7,"")</x:f>
        <x:v>2.842170943040401e-14</x:v>
      </x:c>
      <x:c r="BF7" s="57" t="n">
        <x:f>IFERROR(AY7-AZ7,"")</x:f>
        <x:v>0</x:v>
      </x:c>
      <x:c r="BG7" s="57" t="n">
        <x:f>IFERROR(BA7-W7,"")</x:f>
        <x:v>0</x:v>
      </x:c>
      <x:c r="BH7" s="57" t="n">
        <x:v>101.325</x:v>
      </x:c>
      <x:c r="BI7" s="56" t="str">
        <x:v>RouteA_Focused_External240kW_VSH_PassiveCEGR_total_flow_fixed_4J_600s_20260820.mat</x:v>
      </x:c>
      <x:c r="BJ7" s="56" t="str">
        <x:v>压力：kPa abs；压差/等式偏差：kPa；流量：kg/s</x:v>
      </x:c>
      <x:c r="BK7" s="56" t="str">
        <x:v>p_stack_out=cathode outlet chamber; p_split=ideal tee; p_EGR_up/down=cEGR valve ports; p_comp_in=compressor inlet mixer; p_ambient=environment reservoir</x:v>
      </x:c>
      <x:c r="BL7" s="56" t="str"/>
      <x:c r="BM7" s="56"/>
    </x:row>
    <x:row r="8">
      <x:c r="A8" s="14" t="str">
        <x:v>总流量不变</x:v>
      </x:c>
      <x:c r="B8" s="14" t="str">
        <x:v>external240_total_flow_fixed_j0p1_R2p000</x:v>
      </x:c>
      <x:c r="C8" s="15" t="b">
        <x:v>1</x:v>
      </x:c>
      <x:c r="D8" s="15" t="b">
        <x:v>1</x:v>
      </x:c>
      <x:c r="E8" s="16" t="n">
        <x:v>0.1</x:v>
      </x:c>
      <x:c r="F8" s="16" t="n">
        <x:v>5</x:v>
      </x:c>
      <x:c r="G8" s="17" t="n">
        <x:v>2</x:v>
      </x:c>
      <x:c r="H8" s="17" t="n">
        <x:v>2</x:v>
      </x:c>
      <x:c r="I8" s="17" t="n">
        <x:v>0</x:v>
      </x:c>
      <x:c r="J8" s="17" t="n">
        <x:v>0.1</x:v>
      </x:c>
      <x:c r="K8" s="17" t="n">
        <x:v>0.6666666666666666</x:v>
      </x:c>
      <x:c r="L8" s="17" t="n">
        <x:v>0.6666666666666666</x:v>
      </x:c>
      <x:c r="M8" s="17" t="n">
        <x:v>0.6890842542698531</x:v>
      </x:c>
      <x:c r="N8" s="18" t="n">
        <x:v>0.027198771874110014</x:v>
      </x:c>
      <x:c r="O8" s="27" t="n">
        <x:f>IF(G8=0,P8,IFERROR(N8/G8,""))</x:f>
        <x:v>0.013599385937055007</x:v>
      </x:c>
      <x:c r="P8" s="27" t="n">
        <x:v>0.012272122585566128</x:v>
      </x:c>
      <x:c r="Q8" s="17" t="n">
        <x:v>3.141035600019125</x:v>
      </x:c>
      <x:c r="R8" s="17" t="n">
        <x:v>3.141035600019121</x:v>
      </x:c>
      <x:c r="S8" s="14" t="str">
        <x:v>feasible_above_1p2</x:v>
      </x:c>
      <x:c r="T8" s="14" t="n">
        <x:v>0.7932067823962587</x:v>
      </x:c>
      <x:c r="U8" s="17" t="n">
        <x:v>0.1369607038288256</x:v>
      </x:c>
      <x:c r="V8" s="17" t="n">
        <x:v>40.00000000000002</x:v>
      </x:c>
      <x:c r="W8" s="17" t="n">
        <x:v>101.32500000000003</x:v>
      </x:c>
      <x:c r="X8" s="17" t="n">
        <x:v>144.82510756775017</x:v>
      </x:c>
      <x:c r="Y8" s="17" t="n">
        <x:v>144.77510468100087</x:v>
      </x:c>
      <x:c r="Z8" s="17" t="n">
        <x:v>144.77510468100087</x:v>
      </x:c>
      <x:c r="AA8" s="17" t="n">
        <x:v>141.32500000000002</x:v>
      </x:c>
      <x:c r="AB8" s="17" t="n">
        <x:v>141.32500000000005</x:v>
      </x:c>
      <x:c r="AC8" s="14" t="n">
        <x:v>0.5678509274580411</x:v>
      </x:c>
      <x:c r="AD8" s="17" t="n">
        <x:v>12.909858608924429</x:v>
      </x:c>
      <x:c r="AE8" s="19" t="n">
        <x:v>47.30057499965085</x:v>
      </x:c>
      <x:c r="AF8" s="19" t="n">
        <x:v>5.87582148929468</x:v>
      </x:c>
      <x:c r="AG8" s="17" t="n">
        <x:v>0.738121966625612</x:v>
      </x:c>
      <x:c r="AH8" s="14" t="n">
        <x:v>0</x:v>
      </x:c>
      <x:c r="AI8" s="14" t="n">
        <x:v>0</x:v>
      </x:c>
      <x:c r="AJ8" s="14" t="str">
        <x:v>gas_phase_noncondensing</x:v>
      </x:c>
      <x:c r="AK8" s="14" t="n">
        <x:v>0.789597121849208</x:v>
      </x:c>
      <x:c r="AL8" s="14" t="n">
        <x:v>0</x:v>
      </x:c>
      <x:c r="AM8" s="14" t="str">
        <x:v>gas_phase_noncondensing</x:v>
      </x:c>
      <x:c r="AN8" s="14"/>
      <x:c r="AO8" s="14"/>
      <x:c r="AP8" s="14" t="str">
        <x:v>not_applicable_ideal_connection</x:v>
      </x:c>
      <x:c r="AQ8" s="14" t="str">
        <x:v>within_control_tolerance</x:v>
      </x:c>
      <x:c r="AR8" s="14" t="str">
        <x:v>candidate_feasible_gas_phase_screen</x:v>
      </x:c>
      <x:c r="AS8" s="14" t="str"/>
      <x:c r="AT8" s="14" t="n">
        <x:f t="shared" si="0">IFERROR(MAX(0,AG8-1)*100,"")</x:f>
        <x:v>0</x:v>
      </x:c>
      <x:c r="AU8" s="14" t="n">
        <x:f t="shared" si="1">IFERROR(AH8*1000000,"")</x:f>
        <x:v>0</x:v>
      </x:c>
      <x:c r="AV8" s="14" t="n">
        <x:f t="shared" si="2">IFERROR(AI8*1000000,"")</x:f>
        <x:v>0</x:v>
      </x:c>
      <x:c r="AW8" s="14" t="n">
        <x:f t="shared" si="3">IFERROR((AB8-AA8)*1000,"")</x:f>
        <x:v>2.8421709430404007e-11</x:v>
      </x:c>
      <x:c r="AX8"/>
      <x:c r="AY8" s="57" t="n">
        <x:v>141.32500000000002</x:v>
      </x:c>
      <x:c r="AZ8" s="57" t="n">
        <x:v>141.32500000000002</x:v>
      </x:c>
      <x:c r="BA8" s="57" t="n">
        <x:v>101.32500000000003</x:v>
      </x:c>
      <x:c r="BB8" s="57" t="n">
        <x:f>IFERROR(AZ8-BA8,"")</x:f>
        <x:v>39.999999999999986</x:v>
      </x:c>
      <x:c r="BC8" s="57" t="n">
        <x:f>IFERROR(AY8-BH8,"")</x:f>
        <x:v>40.000000000000014</x:v>
      </x:c>
      <x:c r="BD8" s="57" t="n">
        <x:f>IFERROR(AB8-W8,"")</x:f>
        <x:v>40.000000000000014</x:v>
      </x:c>
      <x:c r="BE8" s="57" t="n">
        <x:f>IFERROR(AB8-AY8,"")</x:f>
        <x:v>2.842170943040401e-14</x:v>
      </x:c>
      <x:c r="BF8" s="57" t="n">
        <x:f>IFERROR(AY8-AZ8,"")</x:f>
        <x:v>0</x:v>
      </x:c>
      <x:c r="BG8" s="57" t="n">
        <x:f>IFERROR(BA8-W8,"")</x:f>
        <x:v>0</x:v>
      </x:c>
      <x:c r="BH8" s="57" t="n">
        <x:v>101.325</x:v>
      </x:c>
      <x:c r="BI8" s="56" t="str">
        <x:v>RouteA_Focused_External240kW_VSH_PassiveCEGR_total_flow_fixed_4J_600s_20260820.mat</x:v>
      </x:c>
      <x:c r="BJ8" s="56" t="str">
        <x:v>压力：kPa abs；压差/等式偏差：kPa；流量：kg/s</x:v>
      </x:c>
      <x:c r="BK8" s="56" t="str">
        <x:v>p_stack_out=cathode outlet chamber; p_split=ideal tee; p_EGR_up/down=cEGR valve ports; p_comp_in=compressor inlet mixer; p_ambient=environment reservoir</x:v>
      </x:c>
      <x:c r="BL8" s="56" t="str"/>
      <x:c r="BM8" s="56"/>
    </x:row>
    <x:row r="9">
      <x:c r="A9" s="14" t="str">
        <x:v>总流量不变</x:v>
      </x:c>
      <x:c r="B9" s="14" t="str">
        <x:v>external240_total_flow_fixed_j0p1_R3p000</x:v>
      </x:c>
      <x:c r="C9" s="15" t="b">
        <x:v>1</x:v>
      </x:c>
      <x:c r="D9" s="15" t="b">
        <x:v>1</x:v>
      </x:c>
      <x:c r="E9" s="16" t="n">
        <x:v>0.1</x:v>
      </x:c>
      <x:c r="F9" s="16" t="n">
        <x:v>5</x:v>
      </x:c>
      <x:c r="G9" s="17" t="n">
        <x:v>3</x:v>
      </x:c>
      <x:c r="H9" s="17" t="n">
        <x:v>2.9999999905251773</x:v>
      </x:c>
      <x:c r="I9" s="17" t="n">
        <x:v>-9.474822704191865e-9</x:v>
      </x:c>
      <x:c r="J9" s="17" t="n">
        <x:v>0.15000000000000002</x:v>
      </x:c>
      <x:c r="K9" s="17" t="n">
        <x:v>0.75</x:v>
      </x:c>
      <x:c r="L9" s="17" t="n">
        <x:v>0.7499999994078228</x:v>
      </x:c>
      <x:c r="M9" s="17" t="n">
        <x:v>0.7788028635125237</x:v>
      </x:c>
      <x:c r="N9" s="18" t="n">
        <x:v>0.03059861822605486</x:v>
      </x:c>
      <x:c r="O9" s="27" t="n">
        <x:f>IF(G9=0,P9,IFERROR(N9/G9,""))</x:f>
        <x:v>0.010199539408684953</x:v>
      </x:c>
      <x:c r="P9" s="27" t="n">
        <x:v>0.008690680336678034</x:v>
      </x:c>
      <x:c r="Q9" s="17" t="n">
        <x:v>2.1268746130207146</x:v>
      </x:c>
      <x:c r="R9" s="17" t="n">
        <x:v>2.126872796008243</x:v>
      </x:c>
      <x:c r="S9" s="14" t="str">
        <x:v>feasible_above_1p2</x:v>
      </x:c>
      <x:c r="T9" s="14" t="n">
        <x:v>0.7877200981866131</x:v>
      </x:c>
      <x:c r="U9" s="17" t="n">
        <x:v>0.15408218662959325</x:v>
      </x:c>
      <x:c r="V9" s="17" t="n">
        <x:v>39.99999981955409</x:v>
      </x:c>
      <x:c r="W9" s="17" t="n">
        <x:v>101.32500000000002</x:v>
      </x:c>
      <x:c r="X9" s="17" t="n">
        <x:v>144.80875573550017</x:v>
      </x:c>
      <x:c r="Y9" s="17" t="n">
        <x:v>144.75875284865077</x:v>
      </x:c>
      <x:c r="Z9" s="17" t="n">
        <x:v>144.75875284865083</x:v>
      </x:c>
      <x:c r="AA9" s="17" t="n">
        <x:v>141.32500000000002</x:v>
      </x:c>
      <x:c r="AB9" s="17" t="n">
        <x:v>141.32499981955414</x:v>
      </x:c>
      <x:c r="AC9" s="14" t="n">
        <x:v>0.6816687054147812</x:v>
      </x:c>
      <x:c r="AD9" s="17" t="n">
        <x:v>8.638969395134906</x:v>
      </x:c>
      <x:c r="AE9" s="19" t="n">
        <x:v>50.63045054208163</x:v>
      </x:c>
      <x:c r="AF9" s="19" t="n">
        <x:v>5.697284179198377</x:v>
      </x:c>
      <x:c r="AG9" s="17" t="n">
        <x:v>0.7502791673038275</x:v>
      </x:c>
      <x:c r="AH9" s="14" t="n">
        <x:v>0</x:v>
      </x:c>
      <x:c r="AI9" s="14" t="n">
        <x:v>0</x:v>
      </x:c>
      <x:c r="AJ9" s="14" t="str">
        <x:v>gas_phase_noncondensing</x:v>
      </x:c>
      <x:c r="AK9" s="14" t="n">
        <x:v>0.8606387111569928</x:v>
      </x:c>
      <x:c r="AL9" s="14" t="n">
        <x:v>0</x:v>
      </x:c>
      <x:c r="AM9" s="14" t="str">
        <x:v>gas_phase_noncondensing</x:v>
      </x:c>
      <x:c r="AN9" s="14"/>
      <x:c r="AO9" s="14"/>
      <x:c r="AP9" s="14" t="str">
        <x:v>not_applicable_ideal_connection</x:v>
      </x:c>
      <x:c r="AQ9" s="14" t="str">
        <x:v>within_control_tolerance</x:v>
      </x:c>
      <x:c r="AR9" s="14" t="str">
        <x:v>candidate_feasible_gas_phase_screen</x:v>
      </x:c>
      <x:c r="AS9" s="14" t="str"/>
      <x:c r="AT9" s="14" t="n">
        <x:f t="shared" si="0">IFERROR(MAX(0,AG9-1)*100,"")</x:f>
        <x:v>0</x:v>
      </x:c>
      <x:c r="AU9" s="14" t="n">
        <x:f t="shared" si="1">IFERROR(AH9*1000000,"")</x:f>
        <x:v>0</x:v>
      </x:c>
      <x:c r="AV9" s="14" t="n">
        <x:f t="shared" si="2">IFERROR(AI9*1000000,"")</x:f>
        <x:v>0</x:v>
      </x:c>
      <x:c r="AW9" s="14" t="n">
        <x:f t="shared" si="3">IFERROR((AB9-AA9)*1000,"")</x:f>
        <x:v>-0.00018044588045995624</x:v>
      </x:c>
      <x:c r="AX9"/>
      <x:c r="AY9" s="57" t="n">
        <x:v>141.3249998195541</x:v>
      </x:c>
      <x:c r="AZ9" s="57" t="n">
        <x:v>141.3249998195541</x:v>
      </x:c>
      <x:c r="BA9" s="57" t="n">
        <x:v>101.32500000000002</x:v>
      </x:c>
      <x:c r="BB9" s="57" t="n">
        <x:f>IFERROR(AZ9-BA9,"")</x:f>
        <x:v>39.99999981955409</x:v>
      </x:c>
      <x:c r="BC9" s="57" t="n">
        <x:f>IFERROR(AY9-BH9,"")</x:f>
        <x:v>39.999999819554105</x:v>
      </x:c>
      <x:c r="BD9" s="57" t="n">
        <x:f>IFERROR(AB9-W9,"")</x:f>
        <x:v>39.99999981955412</x:v>
      </x:c>
      <x:c r="BE9" s="57" t="n">
        <x:f>IFERROR(AB9-AY9,"")</x:f>
        <x:v>2.842170943040401e-14</x:v>
      </x:c>
      <x:c r="BF9" s="57" t="n">
        <x:f>IFERROR(AY9-AZ9,"")</x:f>
        <x:v>0</x:v>
      </x:c>
      <x:c r="BG9" s="57" t="n">
        <x:f>IFERROR(BA9-W9,"")</x:f>
        <x:v>0</x:v>
      </x:c>
      <x:c r="BH9" s="57" t="n">
        <x:v>101.325</x:v>
      </x:c>
      <x:c r="BI9" s="56" t="str">
        <x:v>RouteA_Focused_External240kW_VSH_PassiveCEGR_total_flow_fixed_4J_600s_20260820.mat</x:v>
      </x:c>
      <x:c r="BJ9" s="56" t="str">
        <x:v>压力：kPa abs；压差/等式偏差：kPa；流量：kg/s</x:v>
      </x:c>
      <x:c r="BK9" s="56" t="str">
        <x:v>p_stack_out=cathode outlet chamber; p_split=ideal tee; p_EGR_up/down=cEGR valve ports; p_comp_in=compressor inlet mixer; p_ambient=environment reservoir</x:v>
      </x:c>
      <x:c r="BL9" s="56" t="str"/>
      <x:c r="BM9" s="56"/>
    </x:row>
    <x:row r="10">
      <x:c r="A10" s="14" t="str">
        <x:v>总流量不变</x:v>
      </x:c>
      <x:c r="B10" s="14" t="str">
        <x:v>external240_total_flow_fixed_j0p1_R4p000</x:v>
      </x:c>
      <x:c r="C10" s="15" t="b">
        <x:v>0</x:v>
      </x:c>
      <x:c r="D10" s="15" t="b">
        <x:v>0</x:v>
      </x:c>
      <x:c r="E10" s="16"/>
      <x:c r="F10" s="16"/>
      <x:c r="G10" s="17"/>
      <x:c r="H10" s="17"/>
      <x:c r="I10" s="17"/>
      <x:c r="J10" s="17" t="n">
        <x:v>0.005</x:v>
      </x:c>
      <x:c r="K10" s="17"/>
      <x:c r="L10" s="17"/>
      <x:c r="M10" s="17"/>
      <x:c r="N10" s="18"/>
      <x:c r="O10" s="27" t="str">
        <x:f>""</x:f>
      </x:c>
      <x:c r="P10" s="27"/>
      <x:c r="Q10" s="17"/>
      <x:c r="R10" s="17"/>
      <x:c r="S10" s="14" t="str">
        <x:v>not_evaluable</x:v>
      </x:c>
      <x:c r="T10" s="14"/>
      <x:c r="U10" s="17"/>
      <x:c r="V10" s="17"/>
      <x:c r="W10" s="17"/>
      <x:c r="X10" s="17"/>
      <x:c r="Y10" s="17"/>
      <x:c r="Z10" s="17"/>
      <x:c r="AA10" s="17"/>
      <x:c r="AB10" s="17"/>
      <x:c r="AC10" s="14"/>
      <x:c r="AD10" s="17"/>
      <x:c r="AE10" s="19"/>
      <x:c r="AF10" s="19"/>
      <x:c r="AG10" s="17"/>
      <x:c r="AH10" s="14"/>
      <x:c r="AI10" s="14"/>
      <x:c r="AJ10" s="14" t="str">
        <x:v>not_evaluable</x:v>
      </x:c>
      <x:c r="AK10" s="14"/>
      <x:c r="AL10" s="14"/>
      <x:c r="AM10" s="14" t="str">
        <x:v>not_evaluable</x:v>
      </x:c>
      <x:c r="AN10" s="14"/>
      <x:c r="AO10" s="14"/>
      <x:c r="AP10" s="14" t="str">
        <x:v>not_applicable_ideal_connection</x:v>
      </x:c>
      <x:c r="AQ10" s="14" t="str">
        <x:v>not_available_simulation_failed</x:v>
      </x:c>
      <x:c r="AR10" s="14" t="str">
        <x:v>not_executed</x:v>
      </x:c>
      <x:c r="AS10" s="14" t="str">
        <x:v>RouteA:FocusedSimulationError</x:v>
      </x:c>
      <x:c r="AT10" s="14" t="n">
        <x:f t="shared" si="0">IFERROR(MAX(0,AG10-1)*100,"")</x:f>
        <x:v>0</x:v>
      </x:c>
      <x:c r="AU10" s="14" t="n">
        <x:f t="shared" si="1">IFERROR(AH10*1000000,"")</x:f>
        <x:v>0</x:v>
      </x:c>
      <x:c r="AV10" s="14" t="n">
        <x:f t="shared" si="2">IFERROR(AI10*1000000,"")</x:f>
        <x:v>0</x:v>
      </x:c>
      <x:c r="AW10" s="14" t="n">
        <x:f t="shared" si="3">IFERROR((AB10-AA10)*1000,"")</x:f>
        <x:v>0</x:v>
      </x:c>
      <x:c r="AX10" s="2" t="str">
        <x:v>O₂ 质量分数非负断言（约 267.20 s）</x:v>
      </x:c>
      <x:c r="AY10" s="57"/>
      <x:c r="AZ10" s="57"/>
      <x:c r="BA10" s="57"/>
      <x:c r="BB10" s="57" t="n">
        <x:f>IFERROR(AZ10-BA10,"")</x:f>
        <x:v>0</x:v>
      </x:c>
      <x:c r="BC10" s="57" t="n">
        <x:f>IFERROR(AY10-BH10,"")</x:f>
        <x:v>0</x:v>
      </x:c>
      <x:c r="BD10" s="57" t="n">
        <x:f>IFERROR(AB10-W10,"")</x:f>
        <x:v>0</x:v>
      </x:c>
      <x:c r="BE10" s="57" t="n">
        <x:f>IFERROR(AB10-AY10,"")</x:f>
        <x:v>0</x:v>
      </x:c>
      <x:c r="BF10" s="57" t="n">
        <x:f>IFERROR(AY10-AZ10,"")</x:f>
        <x:v>0</x:v>
      </x:c>
      <x:c r="BG10" s="57" t="n">
        <x:f>IFERROR(BA10-W10,"")</x:f>
        <x:v>0</x:v>
      </x:c>
      <x:c r="BH10" s="57"/>
      <x:c r="BI10" s="56" t="str">
        <x:v>RouteA_Focused_External240kW_VSH_PassiveCEGR_total_flow_fixed_4J_600s_20260820.mat</x:v>
      </x:c>
      <x:c r="BJ10" s="56" t="str">
        <x:v>压力：kPa abs；压差/等式偏差：kPa；流量：kg/s</x:v>
      </x:c>
      <x:c r="BK10" s="56" t="str">
        <x:v>p_stack_out=cathode outlet chamber; p_split=ideal tee; p_EGR_up/down=cEGR valve ports; p_comp_in=compressor inlet mixer; p_ambient=environment reservoir</x:v>
      </x:c>
      <x:c r="BL10" s="56" t="str">
        <x:v>oxygen_supply_mass_fraction_nonnegative</x:v>
      </x:c>
      <x:c r="BM10" s="56" t="str">
        <x:v>O₂ 质量分数非负断言（约 267.20 s）</x:v>
      </x:c>
    </x:row>
    <x:row r="11" s="20" customFormat="1" ht="13.800000190734863">
      <x:c r="A11" s="20" t="str">
        <x:v>总流量不变</x:v>
      </x:c>
      <x:c r="B11" s="20" t="str">
        <x:v>external240_total_flow_fixed_j0p2_R0p000</x:v>
      </x:c>
      <x:c r="C11" s="21" t="b">
        <x:v>1</x:v>
      </x:c>
      <x:c r="D11" s="21" t="b">
        <x:v>1</x:v>
      </x:c>
      <x:c r="E11" s="20" t="n">
        <x:v>0.2</x:v>
      </x:c>
      <x:c r="F11" s="20" t="n">
        <x:v>3.6</x:v>
      </x:c>
      <x:c r="G11" s="20" t="n">
        <x:v>0</x:v>
      </x:c>
      <x:c r="H11" s="20" t="n">
        <x:v>4.0183035854639853e-7</x:v>
      </x:c>
      <x:c r="I11" s="20" t="n">
        <x:v>4.0183035854639853e-7</x:v>
      </x:c>
      <x:c r="J11" s="20" t="n">
        <x:v>0.005</x:v>
      </x:c>
      <x:c r="K11" s="20" t="n">
        <x:v>0</x:v>
      </x:c>
      <x:c r="L11" s="20" t="n">
        <x:v>4.018301970788265e-7</x:v>
      </x:c>
      <x:c r="M11" s="20" t="n">
        <x:v>4.06844683482131e-7</x:v>
      </x:c>
      <x:c r="N11" s="20" t="n">
        <x:v>2.3607261782947442e-8</x:v>
      </x:c>
      <x:c r="O11" s="27" t="n">
        <x:f>IF(G11=0,P11,IFERROR(N11/G11,""))</x:f>
        <x:v>0.05802521978757858</x:v>
      </x:c>
      <x:c r="P11" s="27" t="n">
        <x:v>0.05802521978757858</x:v>
      </x:c>
      <x:c r="Q11" s="20" t="n">
        <x:v>3.5978616288185306</x:v>
      </x:c>
      <x:c r="R11" s="20" t="n">
        <x:v>3.59786162881853</x:v>
      </x:c>
      <x:c r="S11" s="20" t="str">
        <x:v>feasible_above_1p2</x:v>
      </x:c>
      <x:c r="T11" s="20" t="n">
        <x:v>0.7806292643912901</x:v>
      </x:c>
      <x:c r="U11" s="20" t="n">
        <x:v>9.999999999999998e-8</x:v>
      </x:c>
      <x:c r="V11" s="20" t="n">
        <x:v>55.000000000000014</x:v>
      </x:c>
      <x:c r="W11" s="20" t="n">
        <x:v>101.32500000000002</x:v>
      </x:c>
      <x:c r="X11" s="20" t="n">
        <x:v>161.58922115452003</x:v>
      </x:c>
      <x:c r="Y11" s="20" t="n">
        <x:v>161.48553785245727</x:v>
      </x:c>
      <x:c r="Z11" s="20" t="n">
        <x:v>161.48553785245727</x:v>
      </x:c>
      <x:c r="AA11" s="20" t="n">
        <x:v>156.325</x:v>
      </x:c>
      <x:c r="AB11" s="20" t="n">
        <x:v>156.325</x:v>
      </x:c>
      <x:c r="AC11" s="20" t="n">
        <x:v>0.08468997336004777</x:v>
      </x:c>
      <x:c r="AD11" s="20" t="n">
        <x:v>21.278176459990288</x:v>
      </x:c>
      <x:c r="AE11" s="20" t="n">
        <x:v>19.703962519375352</x:v>
      </x:c>
      <x:c r="AF11" s="20" t="n">
        <x:v>10.431696351906869</x:v>
      </x:c>
      <x:c r="AG11" s="20" t="n">
        <x:v>0.5093080996348692</x:v>
      </x:c>
      <x:c r="AH11" s="20" t="n">
        <x:v>0</x:v>
      </x:c>
      <x:c r="AI11" s="20" t="n">
        <x:v>0</x:v>
      </x:c>
      <x:c r="AJ11" s="20" t="str">
        <x:v>gas_phase_noncondensing</x:v>
      </x:c>
      <x:c r="AK11" s="20" t="n">
        <x:v>0.7143383383304459</x:v>
      </x:c>
      <x:c r="AL11" s="20" t="n">
        <x:v>0</x:v>
      </x:c>
      <x:c r="AM11" s="20" t="str">
        <x:v>gas_phase_noncondensing</x:v>
      </x:c>
      <x:c r="AN11"/>
      <x:c r="AO11"/>
      <x:c r="AP11" t="str">
        <x:v>not_applicable_ideal_connection</x:v>
      </x:c>
      <x:c r="AQ11" s="20" t="str">
        <x:v>not_applicable_zero_target</x:v>
      </x:c>
      <x:c r="AR11" s="20" t="str">
        <x:v>candidate_feasible_gas_phase_screen</x:v>
      </x:c>
      <x:c r="AS11" t="str"/>
      <x:c r="AT11" s="20" t="n">
        <x:f>IFERROR(MAX(0,AG11-1)*100,"")</x:f>
        <x:v>0</x:v>
      </x:c>
      <x:c r="AU11" s="20" t="n">
        <x:f>IFERROR(AH11*1000000,"")</x:f>
        <x:v>0</x:v>
      </x:c>
      <x:c r="AV11" s="20" t="n">
        <x:f>IFERROR(AI11*1000000,"")</x:f>
        <x:v>0</x:v>
      </x:c>
      <x:c r="AW11" s="20" t="n">
        <x:f>IFERROR((AB11-AA11)*1000,"")</x:f>
        <x:v>0</x:v>
      </x:c>
      <x:c r="AX11" s="20"/>
      <x:c r="AY11" s="57" t="n">
        <x:v>156.325</x:v>
      </x:c>
      <x:c r="AZ11" s="57" t="n">
        <x:v>156.325</x:v>
      </x:c>
      <x:c r="BA11" s="57" t="n">
        <x:v>101.32500000000002</x:v>
      </x:c>
      <x:c r="BB11" s="57" t="n">
        <x:f>IFERROR(AZ11-BA11,"")</x:f>
        <x:v>54.99999999999997</x:v>
      </x:c>
      <x:c r="BC11" s="57" t="n">
        <x:f>IFERROR(AY11-BH11,"")</x:f>
        <x:v>54.999999999999986</x:v>
      </x:c>
      <x:c r="BD11" s="57" t="n">
        <x:f>IFERROR(AB11-W11,"")</x:f>
        <x:v>54.99999999999997</x:v>
      </x:c>
      <x:c r="BE11" s="57" t="n">
        <x:f>IFERROR(AB11-AY11,"")</x:f>
        <x:v>0</x:v>
      </x:c>
      <x:c r="BF11" s="57" t="n">
        <x:f>IFERROR(AY11-AZ11,"")</x:f>
        <x:v>0</x:v>
      </x:c>
      <x:c r="BG11" s="57" t="n">
        <x:f>IFERROR(BA11-W11,"")</x:f>
        <x:v>0</x:v>
      </x:c>
      <x:c r="BH11" s="57" t="n">
        <x:v>101.325</x:v>
      </x:c>
      <x:c r="BI11" s="56" t="str">
        <x:v>RouteA_Focused_External240kW_VSH_PassiveCEGR_total_flow_fixed_4J_600s_20260820.mat</x:v>
      </x:c>
      <x:c r="BJ11" s="56" t="str">
        <x:v>压力：kPa abs；压差/等式偏差：kPa；流量：kg/s</x:v>
      </x:c>
      <x:c r="BK11" s="56" t="str">
        <x:v>p_stack_out=cathode outlet chamber; p_split=ideal tee; p_EGR_up/down=cEGR valve ports; p_comp_in=compressor inlet mixer; p_ambient=environment reservoir</x:v>
      </x:c>
      <x:c r="BL11" s="56" t="str"/>
      <x:c r="BM11" s="56"/>
    </x:row>
    <x:row r="12">
      <x:c r="A12" s="14" t="str">
        <x:v>总流量不变</x:v>
      </x:c>
      <x:c r="B12" s="14" t="str">
        <x:v>external240_total_flow_fixed_j0p2_R0p260</x:v>
      </x:c>
      <x:c r="C12" s="15" t="b">
        <x:v>1</x:v>
      </x:c>
      <x:c r="D12" s="15" t="b">
        <x:v>1</x:v>
      </x:c>
      <x:c r="E12" s="16" t="n">
        <x:v>0.2</x:v>
      </x:c>
      <x:c r="F12" s="16" t="n">
        <x:v>3.6</x:v>
      </x:c>
      <x:c r="G12" s="17" t="n">
        <x:v>0.26</x:v>
      </x:c>
      <x:c r="H12" s="17" t="n">
        <x:v>0.2599999999999567</x:v>
      </x:c>
      <x:c r="I12" s="17" t="n">
        <x:v>-4.3298697960381105e-14</x:v>
      </x:c>
      <x:c r="J12" s="17" t="n">
        <x:v>0.013000000000000001</x:v>
      </x:c>
      <x:c r="K12" s="17" t="n">
        <x:v>0.20634920634920637</x:v>
      </x:c>
      <x:c r="L12" s="17" t="n">
        <x:v>0.20634920634917908</x:v>
      </x:c>
      <x:c r="M12" s="17" t="n">
        <x:v>0.20995178917154284</x:v>
      </x:c>
      <x:c r="N12" s="18" t="n">
        <x:v>0.012122881178179059</x:v>
      </x:c>
      <x:c r="O12" s="27" t="n">
        <x:f>IF(G12=0,P12,IFERROR(N12/G12,""))</x:f>
        <x:v>0.04662646606991946</x:v>
      </x:c>
      <x:c r="P12" s="27" t="n">
        <x:v>0.045618380403897575</x:v>
      </x:c>
      <x:c r="Q12" s="17" t="n">
        <x:v>3.348533019525258</x:v>
      </x:c>
      <x:c r="R12" s="17" t="n">
        <x:v>3.3485330195199845</x:v>
      </x:c>
      <x:c r="S12" s="14" t="str">
        <x:v>feasible_above_1p2</x:v>
      </x:c>
      <x:c r="T12" s="14" t="n">
        <x:v>0.7803042749561706</x:v>
      </x:c>
      <x:c r="U12" s="17" t="n">
        <x:v>0.05262250850817152</x:v>
      </x:c>
      <x:c r="V12" s="17" t="n">
        <x:v>55.00000000000118</x:v>
      </x:c>
      <x:c r="W12" s="17" t="n">
        <x:v>101.32500000000002</x:v>
      </x:c>
      <x:c r="X12" s="17" t="n">
        <x:v>161.56237579302226</x:v>
      </x:c>
      <x:c r="Y12" s="17" t="n">
        <x:v>161.45869249095944</x:v>
      </x:c>
      <x:c r="Z12" s="17" t="n">
        <x:v>161.45869249095946</x:v>
      </x:c>
      <x:c r="AA12" s="17" t="n">
        <x:v>156.325</x:v>
      </x:c>
      <x:c r="AB12" s="17" t="n">
        <x:v>156.3250000000012</x:v>
      </x:c>
      <x:c r="AC12" s="14" t="n">
        <x:v>0.2432699227033198</x:v>
      </x:c>
      <x:c r="AD12" s="17" t="n">
        <x:v>19.609441212835893</x:v>
      </x:c>
      <x:c r="AE12" s="19" t="n">
        <x:v>28.8823548205674</x:v>
      </x:c>
      <x:c r="AF12" s="19" t="n">
        <x:v>2.8971969602630026</x:v>
      </x:c>
      <x:c r="AG12" s="17" t="n">
        <x:v>0.8440333733614024</x:v>
      </x:c>
      <x:c r="AH12" s="14" t="n">
        <x:v>0</x:v>
      </x:c>
      <x:c r="AI12" s="14" t="n">
        <x:v>0</x:v>
      </x:c>
      <x:c r="AJ12" s="14" t="str">
        <x:v>gas_phase_noncondensing</x:v>
      </x:c>
      <x:c r="AK12" s="14" t="n">
        <x:v>0.8130632800760237</x:v>
      </x:c>
      <x:c r="AL12" s="14" t="n">
        <x:v>0</x:v>
      </x:c>
      <x:c r="AM12" s="14" t="str">
        <x:v>gas_phase_noncondensing</x:v>
      </x:c>
      <x:c r="AN12" s="14"/>
      <x:c r="AO12" s="14"/>
      <x:c r="AP12" s="14" t="str">
        <x:v>not_applicable_ideal_connection</x:v>
      </x:c>
      <x:c r="AQ12" s="14" t="str">
        <x:v>within_control_tolerance</x:v>
      </x:c>
      <x:c r="AR12" s="14" t="str">
        <x:v>candidate_feasible_gas_phase_screen</x:v>
      </x:c>
      <x:c r="AS12" s="14" t="str"/>
      <x:c r="AT12" s="14" t="n">
        <x:f t="shared" si="0">IFERROR(MAX(0,AG12-1)*100,"")</x:f>
        <x:v>0</x:v>
      </x:c>
      <x:c r="AU12" s="14" t="n">
        <x:f t="shared" si="1">IFERROR(AH12*1000000,"")</x:f>
        <x:v>0</x:v>
      </x:c>
      <x:c r="AV12" s="14" t="n">
        <x:f t="shared" si="2">IFERROR(AI12*1000000,"")</x:f>
        <x:v>0</x:v>
      </x:c>
      <x:c r="AW12" s="14" t="n">
        <x:f t="shared" si="3">IFERROR((AB12-AA12)*1000,"")</x:f>
        <x:v>1.2221335055073723e-9</x:v>
      </x:c>
      <x:c r="AX12"/>
      <x:c r="AY12" s="57" t="n">
        <x:v>156.32500000000113</x:v>
      </x:c>
      <x:c r="AZ12" s="57" t="n">
        <x:v>156.32500000000113</x:v>
      </x:c>
      <x:c r="BA12" s="57" t="n">
        <x:v>101.32500000000002</x:v>
      </x:c>
      <x:c r="BB12" s="57" t="n">
        <x:f>IFERROR(AZ12-BA12,"")</x:f>
        <x:v>55.00000000000111</x:v>
      </x:c>
      <x:c r="BC12" s="57" t="n">
        <x:f>IFERROR(AY12-BH12,"")</x:f>
        <x:v>55.00000000000112</x:v>
      </x:c>
      <x:c r="BD12" s="57" t="n">
        <x:f>IFERROR(AB12-W12,"")</x:f>
        <x:v>55.000000000001194</x:v>
      </x:c>
      <x:c r="BE12" s="57" t="n">
        <x:f>IFERROR(AB12-AY12,"")</x:f>
        <x:v>8.526512829121202e-14</x:v>
      </x:c>
      <x:c r="BF12" s="57" t="n">
        <x:f>IFERROR(AY12-AZ12,"")</x:f>
        <x:v>0</x:v>
      </x:c>
      <x:c r="BG12" s="57" t="n">
        <x:f>IFERROR(BA12-W12,"")</x:f>
        <x:v>0</x:v>
      </x:c>
      <x:c r="BH12" s="57" t="n">
        <x:v>101.325</x:v>
      </x:c>
      <x:c r="BI12" s="56" t="str">
        <x:v>RouteA_Focused_External240kW_VSH_PassiveCEGR_total_flow_fixed_4J_600s_20260820.mat</x:v>
      </x:c>
      <x:c r="BJ12" s="56" t="str">
        <x:v>压力：kPa abs；压差/等式偏差：kPa；流量：kg/s</x:v>
      </x:c>
      <x:c r="BK12" s="56" t="str">
        <x:v>p_stack_out=cathode outlet chamber; p_split=ideal tee; p_EGR_up/down=cEGR valve ports; p_comp_in=compressor inlet mixer; p_ambient=environment reservoir</x:v>
      </x:c>
      <x:c r="BL12" s="56" t="str"/>
      <x:c r="BM12" s="56"/>
    </x:row>
    <x:row r="13">
      <x:c r="A13" s="14" t="str">
        <x:v>总流量不变</x:v>
      </x:c>
      <x:c r="B13" s="14" t="str">
        <x:v>external240_total_flow_fixed_j0p2_R0p650</x:v>
      </x:c>
      <x:c r="C13" s="15" t="b">
        <x:v>1</x:v>
      </x:c>
      <x:c r="D13" s="15" t="b">
        <x:v>1</x:v>
      </x:c>
      <x:c r="E13" s="16" t="n">
        <x:v>0.2</x:v>
      </x:c>
      <x:c r="F13" s="16" t="n">
        <x:v>3.6</x:v>
      </x:c>
      <x:c r="G13" s="17" t="n">
        <x:v>0.65</x:v>
      </x:c>
      <x:c r="H13" s="17" t="n">
        <x:v>0.6499999904149201</x:v>
      </x:c>
      <x:c r="I13" s="17" t="n">
        <x:v>-9.585079951968112e-9</x:v>
      </x:c>
      <x:c r="J13" s="17" t="n">
        <x:v>0.0325</x:v>
      </x:c>
      <x:c r="K13" s="17" t="n">
        <x:v>0.393939393939394</x:v>
      </x:c>
      <x:c r="L13" s="17" t="n">
        <x:v>0.3939393904187033</x:v>
      </x:c>
      <x:c r="M13" s="17" t="n">
        <x:v>0.40295650131574356</x:v>
      </x:c>
      <x:c r="N13" s="18" t="n">
        <x:v>0.02314368193483364</x:v>
      </x:c>
      <x:c r="O13" s="27" t="n">
        <x:f>IF(G13=0,P13,IFERROR(N13/G13,""))</x:f>
        <x:v>0.03560566451512868</x:v>
      </x:c>
      <x:c r="P13" s="27" t="n">
        <x:v>0.0342910085572277</x:v>
      </x:c>
      <x:c r="Q13" s="17" t="n">
        <x:v>2.977291044480007</x:v>
      </x:c>
      <x:c r="R13" s="17" t="n">
        <x:v>2.977290809898387</x:v>
      </x:c>
      <x:c r="S13" s="14" t="str">
        <x:v>feasible_above_1p2</x:v>
      </x:c>
      <x:c r="T13" s="14" t="n">
        <x:v>0.778284891265922</x:v>
      </x:c>
      <x:c r="U13" s="17" t="n">
        <x:v>0.0998538268157974</x:v>
      </x:c>
      <x:c r="V13" s="17" t="n">
        <x:v>54.99999995368665</x:v>
      </x:c>
      <x:c r="W13" s="17" t="n">
        <x:v>101.32500000000002</x:v>
      </x:c>
      <x:c r="X13" s="17" t="n">
        <x:v>161.53342072797716</x:v>
      </x:c>
      <x:c r="Y13" s="17" t="n">
        <x:v>161.42973742585252</x:v>
      </x:c>
      <x:c r="Z13" s="17" t="n">
        <x:v>161.42973742585258</x:v>
      </x:c>
      <x:c r="AA13" s="17" t="n">
        <x:v>156.325</x:v>
      </x:c>
      <x:c r="AB13" s="17" t="n">
        <x:v>156.32499995368664</x:v>
      </x:c>
      <x:c r="AC13" s="14" t="n">
        <x:v>0.4424695920348936</x:v>
      </x:c>
      <x:c r="AD13" s="17" t="n">
        <x:v>17.211174910813718</x:v>
      </x:c>
      <x:c r="AE13" s="19" t="n">
        <x:v>37.14839918402532</x:v>
      </x:c>
      <x:c r="AF13" s="19" t="n">
        <x:v>0.6451342920664871</x:v>
      </x:c>
      <x:c r="AG13" s="17" t="n">
        <x:v>0.965403158390063</x:v>
      </x:c>
      <x:c r="AH13" s="14" t="n">
        <x:v>0</x:v>
      </x:c>
      <x:c r="AI13" s="14" t="n">
        <x:v>0</x:v>
      </x:c>
      <x:c r="AJ13" s="14" t="str">
        <x:v>near_saturation_risk</x:v>
      </x:c>
      <x:c r="AK13" s="14" t="n">
        <x:v>0.9489057140072248</x:v>
      </x:c>
      <x:c r="AL13" s="14" t="n">
        <x:v>0</x:v>
      </x:c>
      <x:c r="AM13" s="14" t="str">
        <x:v>gas_phase_noncondensing</x:v>
      </x:c>
      <x:c r="AN13" s="14"/>
      <x:c r="AO13" s="14"/>
      <x:c r="AP13" s="14" t="str">
        <x:v>not_applicable_ideal_connection</x:v>
      </x:c>
      <x:c r="AQ13" s="14" t="str">
        <x:v>within_control_tolerance</x:v>
      </x:c>
      <x:c r="AR13" s="14" t="str">
        <x:v>risk_review_required</x:v>
      </x:c>
      <x:c r="AS13" s="14" t="str"/>
      <x:c r="AT13" s="14" t="n">
        <x:f t="shared" si="0">IFERROR(MAX(0,AG13-1)*100,"")</x:f>
        <x:v>0</x:v>
      </x:c>
      <x:c r="AU13" s="14" t="n">
        <x:f t="shared" si="1">IFERROR(AH13*1000000,"")</x:f>
        <x:v>0</x:v>
      </x:c>
      <x:c r="AV13" s="14" t="n">
        <x:f t="shared" si="2">IFERROR(AI13*1000000,"")</x:f>
        <x:v>0</x:v>
      </x:c>
      <x:c r="AW13" s="14" t="n">
        <x:f t="shared" si="3">IFERROR((AB13-AA13)*1000,"")</x:f>
        <x:v>-0.00004631334604709991</x:v>
      </x:c>
      <x:c r="AX13"/>
      <x:c r="AY13" s="57" t="n">
        <x:v>156.3249999536866</x:v>
      </x:c>
      <x:c r="AZ13" s="57" t="n">
        <x:v>156.3249999536866</x:v>
      </x:c>
      <x:c r="BA13" s="57" t="n">
        <x:v>101.32500000000002</x:v>
      </x:c>
      <x:c r="BB13" s="57" t="n">
        <x:f>IFERROR(AZ13-BA13,"")</x:f>
        <x:v>54.9999999536866</x:v>
      </x:c>
      <x:c r="BC13" s="57" t="n">
        <x:f>IFERROR(AY13-BH13,"")</x:f>
        <x:v>54.99999995368661</x:v>
      </x:c>
      <x:c r="BD13" s="57" t="n">
        <x:f>IFERROR(AB13-W13,"")</x:f>
        <x:v>54.999999953686626</x:v>
      </x:c>
      <x:c r="BE13" s="57" t="n">
        <x:f>IFERROR(AB13-AY13,"")</x:f>
        <x:v>2.842170943040401e-14</x:v>
      </x:c>
      <x:c r="BF13" s="57" t="n">
        <x:f>IFERROR(AY13-AZ13,"")</x:f>
        <x:v>0</x:v>
      </x:c>
      <x:c r="BG13" s="57" t="n">
        <x:f>IFERROR(BA13-W13,"")</x:f>
        <x:v>0</x:v>
      </x:c>
      <x:c r="BH13" s="57" t="n">
        <x:v>101.325</x:v>
      </x:c>
      <x:c r="BI13" s="56" t="str">
        <x:v>RouteA_Focused_External240kW_VSH_PassiveCEGR_total_flow_fixed_4J_600s_20260820.mat</x:v>
      </x:c>
      <x:c r="BJ13" s="56" t="str">
        <x:v>压力：kPa abs；压差/等式偏差：kPa；流量：kg/s</x:v>
      </x:c>
      <x:c r="BK13" s="56" t="str">
        <x:v>p_stack_out=cathode outlet chamber; p_split=ideal tee; p_EGR_up/down=cEGR valve ports; p_comp_in=compressor inlet mixer; p_ambient=environment reservoir</x:v>
      </x:c>
      <x:c r="BL13" s="56" t="str"/>
      <x:c r="BM13" s="56"/>
    </x:row>
    <x:row r="14">
      <x:c r="A14" s="14" t="str">
        <x:v>总流量不变</x:v>
      </x:c>
      <x:c r="B14" s="14" t="str">
        <x:v>external240_total_flow_fixed_j0p2_R1p300</x:v>
      </x:c>
      <x:c r="C14" s="15" t="b">
        <x:v>1</x:v>
      </x:c>
      <x:c r="D14" s="15" t="b">
        <x:v>1</x:v>
      </x:c>
      <x:c r="E14" s="16" t="n">
        <x:v>0.2</x:v>
      </x:c>
      <x:c r="F14" s="16" t="n">
        <x:v>3.6</x:v>
      </x:c>
      <x:c r="G14" s="17" t="n">
        <x:v>1.3</x:v>
      </x:c>
      <x:c r="H14" s="17" t="n">
        <x:v>1.2999999993189053</x:v>
      </x:c>
      <x:c r="I14" s="17" t="n">
        <x:v>-6.810947361657327e-10</x:v>
      </x:c>
      <x:c r="J14" s="17" t="n">
        <x:v>0.065</x:v>
      </x:c>
      <x:c r="K14" s="17" t="n">
        <x:v>0.5652173913043479</x:v>
      </x:c>
      <x:c r="L14" s="17" t="n">
        <x:v>0.5652173911755961</x:v>
      </x:c>
      <x:c r="M14" s="17" t="n">
        <x:v>0.5805008500985975</x:v>
      </x:c>
      <x:c r="N14" s="18" t="n">
        <x:v>0.03320615277602933</x:v>
      </x:c>
      <x:c r="O14" s="27" t="n">
        <x:f>IF(G14=0,P14,IFERROR(N14/G14,""))</x:f>
        <x:v>0.025543194443099482</x:v>
      </x:c>
      <x:c r="P14" s="27" t="n">
        <x:v>0.023996438349184857</x:v>
      </x:c>
      <x:c r="Q14" s="17" t="n">
        <x:v>2.3451572333476496</x:v>
      </x:c>
      <x:c r="R14" s="17" t="n">
        <x:v>2.3451503290082893</x:v>
      </x:c>
      <x:c r="S14" s="14" t="str">
        <x:v>feasible_above_1p2</x:v>
      </x:c>
      <x:c r="T14" s="14" t="n">
        <x:v>0.7724344720324889</x:v>
      </x:c>
      <x:c r="U14" s="17" t="n">
        <x:v>0.14338671270230277</x:v>
      </x:c>
      <x:c r="V14" s="17" t="n">
        <x:v>54.99999995252402</x:v>
      </x:c>
      <x:c r="W14" s="17" t="n">
        <x:v>101.32500000000002</x:v>
      </x:c>
      <x:c r="X14" s="17" t="n">
        <x:v>161.51151699977552</x:v>
      </x:c>
      <x:c r="Y14" s="17" t="n">
        <x:v>161.4078336977012</x:v>
      </x:c>
      <x:c r="Z14" s="17" t="n">
        <x:v>161.40783369770125</x:v>
      </x:c>
      <x:c r="AA14" s="17" t="n">
        <x:v>156.325</x:v>
      </x:c>
      <x:c r="AB14" s="17" t="n">
        <x:v>156.32499995252402</x:v>
      </x:c>
      <x:c r="AC14" s="14" t="n">
        <x:v>0.7430071415186023</x:v>
      </x:c>
      <x:c r="AD14" s="17" t="n">
        <x:v>13.284543877456006</x:v>
      </x:c>
      <x:c r="AE14" s="19" t="n">
        <x:v>46.99666086876937</x:v>
      </x:c>
      <x:c r="AF14" s="19" t="n">
        <x:v>0.6713791604711901</x:v>
      </x:c>
      <x:c r="AG14" s="17" t="n">
        <x:v>0.9664502644685157</x:v>
      </x:c>
      <x:c r="AH14" s="14" t="n">
        <x:v>0</x:v>
      </x:c>
      <x:c r="AI14" s="14" t="n">
        <x:v>0</x:v>
      </x:c>
      <x:c r="AJ14" s="14" t="str">
        <x:v>near_saturation_risk</x:v>
      </x:c>
      <x:c r="AK14" s="14" t="n">
        <x:v>0.9997994833288417</x:v>
      </x:c>
      <x:c r="AL14" s="14" t="n">
        <x:v>0.0001277984767966409</x:v>
      </x:c>
      <x:c r="AM14" s="14" t="str">
        <x:v>condensing_or_supersaturated</x:v>
      </x:c>
      <x:c r="AN14" s="14"/>
      <x:c r="AO14" s="14"/>
      <x:c r="AP14" s="14" t="str">
        <x:v>not_applicable_ideal_connection</x:v>
      </x:c>
      <x:c r="AQ14" s="14" t="str">
        <x:v>within_control_tolerance</x:v>
      </x:c>
      <x:c r="AR14" s="14" t="str">
        <x:v>risk_review_required</x:v>
      </x:c>
      <x:c r="AS14" s="14" t="str"/>
      <x:c r="AT14" s="14" t="n">
        <x:f t="shared" si="0">IFERROR(MAX(0,AG14-1)*100,"")</x:f>
        <x:v>0</x:v>
      </x:c>
      <x:c r="AU14" s="14" t="n">
        <x:f t="shared" si="1">IFERROR(AH14*1000000,"")</x:f>
        <x:v>0</x:v>
      </x:c>
      <x:c r="AV14" s="14" t="n">
        <x:f t="shared" si="2">IFERROR(AI14*1000000,"")</x:f>
        <x:v>0</x:v>
      </x:c>
      <x:c r="AW14" s="14" t="n">
        <x:f t="shared" si="3">IFERROR((AB14-AA14)*1000,"")</x:f>
        <x:v>-0.00004747596449306002</x:v>
      </x:c>
      <x:c r="AX14"/>
      <x:c r="AY14" s="57" t="n">
        <x:v>156.324999952524</x:v>
      </x:c>
      <x:c r="AZ14" s="57" t="n">
        <x:v>156.324999952524</x:v>
      </x:c>
      <x:c r="BA14" s="57" t="n">
        <x:v>101.32500000000002</x:v>
      </x:c>
      <x:c r="BB14" s="57" t="n">
        <x:f>IFERROR(AZ14-BA14,"")</x:f>
        <x:v>54.99999995252398</x:v>
      </x:c>
      <x:c r="BC14" s="57" t="n">
        <x:f>IFERROR(AY14-BH14,"")</x:f>
        <x:v>54.99999995252399</x:v>
      </x:c>
      <x:c r="BD14" s="57" t="n">
        <x:f>IFERROR(AB14-W14,"")</x:f>
        <x:v>54.99999995252401</x:v>
      </x:c>
      <x:c r="BE14" s="57" t="n">
        <x:f>IFERROR(AB14-AY14,"")</x:f>
        <x:v>2.842170943040401e-14</x:v>
      </x:c>
      <x:c r="BF14" s="57" t="n">
        <x:f>IFERROR(AY14-AZ14,"")</x:f>
        <x:v>0</x:v>
      </x:c>
      <x:c r="BG14" s="57" t="n">
        <x:f>IFERROR(BA14-W14,"")</x:f>
        <x:v>0</x:v>
      </x:c>
      <x:c r="BH14" s="57" t="n">
        <x:v>101.325</x:v>
      </x:c>
      <x:c r="BI14" s="56" t="str">
        <x:v>RouteA_Focused_External240kW_VSH_PassiveCEGR_total_flow_fixed_4J_600s_20260820.mat</x:v>
      </x:c>
      <x:c r="BJ14" s="56" t="str">
        <x:v>压力：kPa abs；压差/等式偏差：kPa；流量：kg/s</x:v>
      </x:c>
      <x:c r="BK14" s="56" t="str">
        <x:v>p_stack_out=cathode outlet chamber; p_split=ideal tee; p_EGR_up/down=cEGR valve ports; p_comp_in=compressor inlet mixer; p_ambient=environment reservoir</x:v>
      </x:c>
      <x:c r="BL14" s="56" t="str"/>
      <x:c r="BM14" s="56"/>
    </x:row>
    <x:row r="15">
      <x:c r="A15" s="14" t="str">
        <x:v>总流量不变</x:v>
      </x:c>
      <x:c r="B15" s="14" t="str">
        <x:v>external240_total_flow_fixed_j0p2_R1p950</x:v>
      </x:c>
      <x:c r="C15" s="15" t="b">
        <x:v>1</x:v>
      </x:c>
      <x:c r="D15" s="15" t="b">
        <x:v>1</x:v>
      </x:c>
      <x:c r="E15" s="16" t="n">
        <x:v>0.2</x:v>
      </x:c>
      <x:c r="F15" s="16" t="n">
        <x:v>3.6</x:v>
      </x:c>
      <x:c r="G15" s="17" t="n">
        <x:v>1.9500000000000002</x:v>
      </x:c>
      <x:c r="H15" s="17" t="n">
        <x:v>1.9499999905151728</x:v>
      </x:c>
      <x:c r="I15" s="17" t="n">
        <x:v>-9.484827367955972e-9</x:v>
      </x:c>
      <x:c r="J15" s="17" t="n">
        <x:v>0.09750000000000002</x:v>
      </x:c>
      <x:c r="K15" s="17" t="n">
        <x:v>0.6610169491525424</x:v>
      </x:c>
      <x:c r="L15" s="17" t="n">
        <x:v>0.6610169480626455</x:v>
      </x:c>
      <x:c r="M15" s="17" t="n">
        <x:v>0.6805366664436955</x:v>
      </x:c>
      <x:c r="N15" s="18" t="n">
        <x:v>0.03883431411909329</x:v>
      </x:c>
      <x:c r="O15" s="27" t="n">
        <x:f>IF(G15=0,P15,IFERROR(N15/G15,""))</x:f>
        <x:v>0.019915032881586303</x:v>
      </x:c>
      <x:c r="P15" s="27" t="n">
        <x:v>0.018229935368052116</x:v>
      </x:c>
      <x:c r="Q15" s="17" t="n">
        <x:v>1.6975252406019208</x:v>
      </x:c>
      <x:c r="R15" s="17" t="n">
        <x:v>1.6975249946911364</x:v>
      </x:c>
      <x:c r="S15" s="14" t="str">
        <x:v>feasible_above_1p2</x:v>
      </x:c>
      <x:c r="T15" s="14" t="n">
        <x:v>0.7651424260117167</x:v>
      </x:c>
      <x:c r="U15" s="17" t="n">
        <x:v>0.17030153668638767</x:v>
      </x:c>
      <x:c r="V15" s="17" t="n">
        <x:v>54.99999963958921</x:v>
      </x:c>
      <x:c r="W15" s="17" t="n">
        <x:v>101.32500000000003</x:v>
      </x:c>
      <x:c r="X15" s="17" t="n">
        <x:v>161.4984683555531</x:v>
      </x:c>
      <x:c r="Y15" s="17" t="n">
        <x:v>161.39478505387243</x:v>
      </x:c>
      <x:c r="Z15" s="17" t="n">
        <x:v>161.39478505387245</x:v>
      </x:c>
      <x:c r="AA15" s="17" t="n">
        <x:v>156.325</x:v>
      </x:c>
      <x:c r="AB15" s="17" t="n">
        <x:v>156.3249996395892</x:v>
      </x:c>
      <x:c r="AC15" s="14" t="n">
        <x:v>0.9954713429867802</x:v>
      </x:c>
      <x:c r="AD15" s="17" t="n">
        <x:v>9.430144340558888</x:v>
      </x:c>
      <x:c r="AE15" s="19" t="n">
        <x:v>54.13859578675999</x:v>
      </x:c>
      <x:c r="AF15" s="19" t="n">
        <x:v>1.7743819178458011</x:v>
      </x:c>
      <x:c r="AG15" s="17" t="n">
        <x:v>0.9175178358202576</x:v>
      </x:c>
      <x:c r="AH15" s="14" t="n">
        <x:v>0</x:v>
      </x:c>
      <x:c r="AI15" s="14" t="n">
        <x:v>0</x:v>
      </x:c>
      <x:c r="AJ15" s="14" t="str">
        <x:v>near_saturation_risk</x:v>
      </x:c>
      <x:c r="AK15" s="14" t="n">
        <x:v>1.0004694864329926</x:v>
      </x:c>
      <x:c r="AL15" s="14" t="n">
        <x:v>0.0002565935167888223</x:v>
      </x:c>
      <x:c r="AM15" s="14" t="str">
        <x:v>condensing_or_supersaturated</x:v>
      </x:c>
      <x:c r="AN15" s="14"/>
      <x:c r="AO15" s="14"/>
      <x:c r="AP15" s="14" t="str">
        <x:v>not_applicable_ideal_connection</x:v>
      </x:c>
      <x:c r="AQ15" s="14" t="str">
        <x:v>within_control_tolerance</x:v>
      </x:c>
      <x:c r="AR15" s="14" t="str">
        <x:v>risk_review_required</x:v>
      </x:c>
      <x:c r="AS15" s="14" t="str"/>
      <x:c r="AT15" s="14" t="n">
        <x:f t="shared" si="0">IFERROR(MAX(0,AG15-1)*100,"")</x:f>
        <x:v>0</x:v>
      </x:c>
      <x:c r="AU15" s="14" t="n">
        <x:f t="shared" si="1">IFERROR(AH15*1000000,"")</x:f>
        <x:v>0</x:v>
      </x:c>
      <x:c r="AV15" s="14" t="n">
        <x:f t="shared" si="2">IFERROR(AI15*1000000,"")</x:f>
        <x:v>0</x:v>
      </x:c>
      <x:c r="AW15" s="14" t="n">
        <x:f t="shared" si="3">IFERROR((AB15-AA15)*1000,"")</x:f>
        <x:v>-0.00036041078033122176</x:v>
      </x:c>
      <x:c r="AX15"/>
      <x:c r="AY15" s="57" t="n">
        <x:v>156.32499963958918</x:v>
      </x:c>
      <x:c r="AZ15" s="57" t="n">
        <x:v>156.32499963958918</x:v>
      </x:c>
      <x:c r="BA15" s="57" t="n">
        <x:v>101.32500000000003</x:v>
      </x:c>
      <x:c r="BB15" s="57" t="n">
        <x:f>IFERROR(AZ15-BA15,"")</x:f>
        <x:v>54.99999963958915</x:v>
      </x:c>
      <x:c r="BC15" s="57" t="n">
        <x:f>IFERROR(AY15-BH15,"")</x:f>
        <x:v>54.99999963958918</x:v>
      </x:c>
      <x:c r="BD15" s="57" t="n">
        <x:f>IFERROR(AB15-W15,"")</x:f>
        <x:v>54.99999963958918</x:v>
      </x:c>
      <x:c r="BE15" s="57" t="n">
        <x:f>IFERROR(AB15-AY15,"")</x:f>
        <x:v>2.842170943040401e-14</x:v>
      </x:c>
      <x:c r="BF15" s="57" t="n">
        <x:f>IFERROR(AY15-AZ15,"")</x:f>
        <x:v>0</x:v>
      </x:c>
      <x:c r="BG15" s="57" t="n">
        <x:f>IFERROR(BA15-W15,"")</x:f>
        <x:v>0</x:v>
      </x:c>
      <x:c r="BH15" s="57" t="n">
        <x:v>101.325</x:v>
      </x:c>
      <x:c r="BI15" s="56" t="str">
        <x:v>RouteA_Focused_External240kW_VSH_PassiveCEGR_total_flow_fixed_4J_600s_20260820.mat</x:v>
      </x:c>
      <x:c r="BJ15" s="56" t="str">
        <x:v>压力：kPa abs；压差/等式偏差：kPa；流量：kg/s</x:v>
      </x:c>
      <x:c r="BK15" s="56" t="str">
        <x:v>p_stack_out=cathode outlet chamber; p_split=ideal tee; p_EGR_up/down=cEGR valve ports; p_comp_in=compressor inlet mixer; p_ambient=environment reservoir</x:v>
      </x:c>
      <x:c r="BL15" s="56" t="str"/>
      <x:c r="BM15" s="56"/>
    </x:row>
    <x:row r="16">
      <x:c r="A16" s="14" t="str">
        <x:v>总流量不变</x:v>
      </x:c>
      <x:c r="B16" s="14" t="str">
        <x:v>external240_total_flow_fixed_j0p2_R2p600</x:v>
      </x:c>
      <x:c r="C16" s="15" t="b">
        <x:v>1</x:v>
      </x:c>
      <x:c r="D16" s="15" t="b">
        <x:v>1</x:v>
      </x:c>
      <x:c r="E16" s="16" t="n">
        <x:v>0.2</x:v>
      </x:c>
      <x:c r="F16" s="16" t="n">
        <x:v>3.6</x:v>
      </x:c>
      <x:c r="G16" s="17" t="n">
        <x:v>2.6</x:v>
      </x:c>
      <x:c r="H16" s="17" t="n">
        <x:v>2.5999999999997843</x:v>
      </x:c>
      <x:c r="I16" s="17" t="n">
        <x:v>-2.1582735598713043e-13</x:v>
      </x:c>
      <x:c r="J16" s="17" t="n">
        <x:v>0.13</x:v>
      </x:c>
      <x:c r="K16" s="17" t="n">
        <x:v>0.7222222222222222</x:v>
      </x:c>
      <x:c r="L16" s="17" t="n">
        <x:v>0.7222222222222056</x:v>
      </x:c>
      <x:c r="M16" s="17" t="n">
        <x:v>0.7437160075508784</x:v>
      </x:c>
      <x:c r="N16" s="18" t="n">
        <x:v>0.04243008412360983</x:v>
      </x:c>
      <x:c r="O16" s="27" t="n">
        <x:f>IF(G16=0,P16,IFERROR(N16/G16,""))</x:f>
        <x:v>0.01631926312446532</x:v>
      </x:c>
      <x:c r="P16" s="27" t="n">
        <x:v>0.014621375967098444</x:v>
      </x:c>
      <x:c r="Q16" s="17" t="n">
        <x:v>1.1159464109519714</x:v>
      </x:c>
      <x:c r="R16" s="17" t="n">
        <x:v>1.1159464109342105</x:v>
      </x:c>
      <x:c r="S16" s="14" t="str">
        <x:v>risk_1_to_1p2</x:v>
      </x:c>
      <x:c r="T16" s="14" t="n">
        <x:v>0.7520205880037888</x:v>
      </x:c>
      <x:c r="U16" s="17" t="n">
        <x:v>0.18667709260934748</x:v>
      </x:c>
      <x:c r="V16" s="17" t="n">
        <x:v>54.9999999999967</x:v>
      </x:c>
      <x:c r="W16" s="17" t="n">
        <x:v>101.32500000000002</x:v>
      </x:c>
      <x:c r="X16" s="17" t="n">
        <x:v>161.4972626789976</x:v>
      </x:c>
      <x:c r="Y16" s="17" t="n">
        <x:v>161.3935793769348</x:v>
      </x:c>
      <x:c r="Z16" s="17" t="n">
        <x:v>161.39357937693487</x:v>
      </x:c>
      <x:c r="AA16" s="17" t="n">
        <x:v>156.325</x:v>
      </x:c>
      <x:c r="AB16" s="17" t="n">
        <x:v>156.32499999999672</x:v>
      </x:c>
      <x:c r="AC16" s="14" t="n">
        <x:v>1.0028520290330982</x:v>
      </x:c>
      <x:c r="AD16" s="17" t="n">
        <x:v>6.099132583252641</x:v>
      </x:c>
      <x:c r="AE16" s="19" t="n">
        <x:v>56.89998184559005</x:v>
      </x:c>
      <x:c r="AF16" s="19" t="n">
        <x:v>3.003732916146376</x:v>
      </x:c>
      <x:c r="AG16" s="17" t="n">
        <x:v>0.8662717550901641</x:v>
      </x:c>
      <x:c r="AH16" s="14" t="n">
        <x:v>0</x:v>
      </x:c>
      <x:c r="AI16" s="14" t="n">
        <x:v>0</x:v>
      </x:c>
      <x:c r="AJ16" s="14" t="str">
        <x:v>gas_phase_noncondensing</x:v>
      </x:c>
      <x:c r="AK16" s="14" t="n">
        <x:v>1.000423178893092</x:v>
      </x:c>
      <x:c r="AL16" s="14" t="n">
        <x:v>0.00026028147744653317</x:v>
      </x:c>
      <x:c r="AM16" s="14" t="str">
        <x:v>condensing_or_supersaturated</x:v>
      </x:c>
      <x:c r="AN16" s="14"/>
      <x:c r="AO16" s="14"/>
      <x:c r="AP16" s="14" t="str">
        <x:v>not_applicable_ideal_connection</x:v>
      </x:c>
      <x:c r="AQ16" s="14" t="str">
        <x:v>within_control_tolerance</x:v>
      </x:c>
      <x:c r="AR16" s="14" t="str">
        <x:v>risk_review_required</x:v>
      </x:c>
      <x:c r="AS16" s="14" t="str"/>
      <x:c r="AT16" s="14" t="n">
        <x:f t="shared" si="0">IFERROR(MAX(0,AG16-1)*100,"")</x:f>
        <x:v>0</x:v>
      </x:c>
      <x:c r="AU16" s="14" t="n">
        <x:f t="shared" si="1">IFERROR(AH16*1000000,"")</x:f>
        <x:v>0</x:v>
      </x:c>
      <x:c r="AV16" s="14" t="n">
        <x:f t="shared" si="2">IFERROR(AI16*1000000,"")</x:f>
        <x:v>0</x:v>
      </x:c>
      <x:c r="AW16" s="14" t="n">
        <x:f t="shared" si="3">IFERROR((AB16-AA16)*1000,"")</x:f>
        <x:v>-3.268496584496461e-9</x:v>
      </x:c>
      <x:c r="AX16"/>
      <x:c r="AY16" s="57" t="n">
        <x:v>156.3249999999967</x:v>
      </x:c>
      <x:c r="AZ16" s="57" t="n">
        <x:v>156.3249999999967</x:v>
      </x:c>
      <x:c r="BA16" s="57" t="n">
        <x:v>101.32500000000002</x:v>
      </x:c>
      <x:c r="BB16" s="57" t="n">
        <x:f>IFERROR(AZ16-BA16,"")</x:f>
        <x:v>54.999999999996675</x:v>
      </x:c>
      <x:c r="BC16" s="57" t="n">
        <x:f>IFERROR(AY16-BH16,"")</x:f>
        <x:v>54.99999999999669</x:v>
      </x:c>
      <x:c r="BD16" s="57" t="n">
        <x:f>IFERROR(AB16-W16,"")</x:f>
        <x:v>54.9999999999967</x:v>
      </x:c>
      <x:c r="BE16" s="57" t="n">
        <x:f>IFERROR(AB16-AY16,"")</x:f>
        <x:v>2.842170943040401e-14</x:v>
      </x:c>
      <x:c r="BF16" s="57" t="n">
        <x:f>IFERROR(AY16-AZ16,"")</x:f>
        <x:v>0</x:v>
      </x:c>
      <x:c r="BG16" s="57" t="n">
        <x:f>IFERROR(BA16-W16,"")</x:f>
        <x:v>0</x:v>
      </x:c>
      <x:c r="BH16" s="57" t="n">
        <x:v>101.325</x:v>
      </x:c>
      <x:c r="BI16" s="56" t="str">
        <x:v>RouteA_Focused_External240kW_VSH_PassiveCEGR_total_flow_fixed_4J_600s_20260820.mat</x:v>
      </x:c>
      <x:c r="BJ16" s="56" t="str">
        <x:v>压力：kPa abs；压差/等式偏差：kPa；流量：kg/s</x:v>
      </x:c>
      <x:c r="BK16" s="56" t="str">
        <x:v>p_stack_out=cathode outlet chamber; p_split=ideal tee; p_EGR_up/down=cEGR valve ports; p_comp_in=compressor inlet mixer; p_ambient=environment reservoir</x:v>
      </x:c>
      <x:c r="BL16" s="56" t="str"/>
      <x:c r="BM16" s="56"/>
    </x:row>
    <x:row r="17">
      <x:c r="A17" s="14" t="str">
        <x:v>总流量不变</x:v>
      </x:c>
      <x:c r="B17" s="14" t="str">
        <x:v>external240_total_flow_fixed_j0p4_R0p000</x:v>
      </x:c>
      <x:c r="C17" s="15" t="b">
        <x:v>1</x:v>
      </x:c>
      <x:c r="D17" s="15" t="b">
        <x:v>1</x:v>
      </x:c>
      <x:c r="E17" s="16" t="n">
        <x:v>0.4</x:v>
      </x:c>
      <x:c r="F17" s="16" t="n">
        <x:v>2.4</x:v>
      </x:c>
      <x:c r="G17" s="17" t="n">
        <x:v>0</x:v>
      </x:c>
      <x:c r="H17" s="17" t="n">
        <x:v>3.444230665013092e-7</x:v>
      </x:c>
      <x:c r="I17" s="17" t="n">
        <x:v>3.444230665013092e-7</x:v>
      </x:c>
      <x:c r="J17" s="17" t="n">
        <x:v>0.005</x:v>
      </x:c>
      <x:c r="K17" s="17" t="n">
        <x:v>0</x:v>
      </x:c>
      <x:c r="L17" s="17" t="n">
        <x:v>3.444229478741014e-7</x:v>
      </x:c>
      <x:c r="M17" s="17" t="n">
        <x:v>3.4759732203785024e-7</x:v>
      </x:c>
      <x:c r="N17" s="18" t="n">
        <x:v>2.697949781981616e-8</x:v>
      </x:c>
      <x:c r="O17" s="27" t="n">
        <x:f>IF(G17=0,P17,IFERROR(N17/G17,""))</x:f>
        <x:v>0.07761707795573046</x:v>
      </x:c>
      <x:c r="P17" s="27" t="n">
        <x:v>0.07761707795573046</x:v>
      </x:c>
      <x:c r="Q17" s="17" t="n">
        <x:v>2.3985732140688585</x:v>
      </x:c>
      <x:c r="R17" s="17" t="n">
        <x:v>2.398573214068858</x:v>
      </x:c>
      <x:c r="S17" s="14" t="str">
        <x:v>feasible_above_1p2</x:v>
      </x:c>
      <x:c r="T17" s="14" t="n">
        <x:v>0.758531528488986</x:v>
      </x:c>
      <x:c r="U17" s="17" t="n">
        <x:v>9.999999999999998e-8</x:v>
      </x:c>
      <x:c r="V17" s="17" t="n">
        <x:v>70.00000000000001</x:v>
      </x:c>
      <x:c r="W17" s="17" t="n">
        <x:v>101.32500000000003</x:v>
      </x:c>
      <x:c r="X17" s="17" t="n">
        <x:v>178.58282646456558</x:v>
      </x:c>
      <x:c r="Y17" s="17" t="n">
        <x:v>178.39850253863955</x:v>
      </x:c>
      <x:c r="Z17" s="17" t="n">
        <x:v>178.39850253863958</x:v>
      </x:c>
      <x:c r="AA17" s="17" t="n">
        <x:v>171.32500000000002</x:v>
      </x:c>
      <x:c r="AB17" s="17" t="n">
        <x:v>171.32500000000005</x:v>
      </x:c>
      <x:c r="AC17" s="14" t="n">
        <x:v>0.08137161349552949</x:v>
      </x:c>
      <x:c r="AD17" s="17" t="n">
        <x:v>21.278163671854433</x:v>
      </x:c>
      <x:c r="AE17" s="19" t="n">
        <x:v>19.474729617901517</x:v>
      </x:c>
      <x:c r="AF17" s="19" t="n">
        <x:v>10.202163855682603</x:v>
      </x:c>
      <x:c r="AG17" s="17" t="n">
        <x:v>0.5166247396419832</x:v>
      </x:c>
      <x:c r="AH17" s="14" t="n">
        <x:v>0</x:v>
      </x:c>
      <x:c r="AI17" s="14" t="n">
        <x:v>0</x:v>
      </x:c>
      <x:c r="AJ17" s="14" t="str">
        <x:v>gas_phase_noncondensing</x:v>
      </x:c>
      <x:c r="AK17" s="14" t="n">
        <x:v>0.9995911377425267</x:v>
      </x:c>
      <x:c r="AL17" s="14" t="n">
        <x:v>0.00002468242785868658</x:v>
      </x:c>
      <x:c r="AM17" s="14" t="str">
        <x:v>condensing_or_supersaturated</x:v>
      </x:c>
      <x:c r="AN17" s="14"/>
      <x:c r="AO17" s="14"/>
      <x:c r="AP17" s="14" t="str">
        <x:v>not_applicable_ideal_connection</x:v>
      </x:c>
      <x:c r="AQ17" s="14" t="str">
        <x:v>not_applicable_zero_target</x:v>
      </x:c>
      <x:c r="AR17" s="14" t="str">
        <x:v>candidate_feasible_gas_phase_screen</x:v>
      </x:c>
      <x:c r="AS17" s="14" t="str"/>
      <x:c r="AT17" s="14" t="n">
        <x:f t="shared" si="0">IFERROR(MAX(0,AG17-1)*100,"")</x:f>
        <x:v>0</x:v>
      </x:c>
      <x:c r="AU17" s="14" t="n">
        <x:f t="shared" si="1">IFERROR(AH17*1000000,"")</x:f>
        <x:v>0</x:v>
      </x:c>
      <x:c r="AV17" s="14" t="n">
        <x:f t="shared" si="2">IFERROR(AI17*1000000,"")</x:f>
        <x:v>0</x:v>
      </x:c>
      <x:c r="AW17" s="14" t="n">
        <x:f t="shared" si="3">IFERROR((AB17-AA17)*1000,"")</x:f>
        <x:v>2.8421709430404007e-11</x:v>
      </x:c>
      <x:c r="AX17"/>
      <x:c r="AY17" s="57" t="n">
        <x:v>171.32500000000002</x:v>
      </x:c>
      <x:c r="AZ17" s="57" t="n">
        <x:v>171.32500000000002</x:v>
      </x:c>
      <x:c r="BA17" s="57" t="n">
        <x:v>101.32500000000003</x:v>
      </x:c>
      <x:c r="BB17" s="57" t="n">
        <x:f>IFERROR(AZ17-BA17,"")</x:f>
        <x:v>69.99999999999999</x:v>
      </x:c>
      <x:c r="BC17" s="57" t="n">
        <x:f>IFERROR(AY17-BH17,"")</x:f>
        <x:v>70.00000000000001</x:v>
      </x:c>
      <x:c r="BD17" s="57" t="n">
        <x:f>IFERROR(AB17-W17,"")</x:f>
        <x:v>70.00000000000001</x:v>
      </x:c>
      <x:c r="BE17" s="57" t="n">
        <x:f>IFERROR(AB17-AY17,"")</x:f>
        <x:v>2.842170943040401e-14</x:v>
      </x:c>
      <x:c r="BF17" s="57" t="n">
        <x:f>IFERROR(AY17-AZ17,"")</x:f>
        <x:v>0</x:v>
      </x:c>
      <x:c r="BG17" s="57" t="n">
        <x:f>IFERROR(BA17-W17,"")</x:f>
        <x:v>0</x:v>
      </x:c>
      <x:c r="BH17" s="57" t="n">
        <x:v>101.325</x:v>
      </x:c>
      <x:c r="BI17" s="56" t="str">
        <x:v>RouteA_Focused_External240kW_VSH_PassiveCEGR_total_flow_fixed_4J_600s_20260820.mat</x:v>
      </x:c>
      <x:c r="BJ17" s="56" t="str">
        <x:v>压力：kPa abs；压差/等式偏差：kPa；流量：kg/s</x:v>
      </x:c>
      <x:c r="BK17" s="56" t="str">
        <x:v>p_stack_out=cathode outlet chamber; p_split=ideal tee; p_EGR_up/down=cEGR valve ports; p_comp_in=compressor inlet mixer; p_ambient=environment reservoir</x:v>
      </x:c>
      <x:c r="BL17" s="56" t="str"/>
      <x:c r="BM17" s="56"/>
    </x:row>
    <x:row r="18">
      <x:c r="A18" s="14" t="str">
        <x:v>总流量不变</x:v>
      </x:c>
      <x:c r="B18" s="14" t="str">
        <x:v>external240_total_flow_fixed_j0p4_R0p140</x:v>
      </x:c>
      <x:c r="C18" s="15" t="b">
        <x:v>1</x:v>
      </x:c>
      <x:c r="D18" s="15" t="b">
        <x:v>1</x:v>
      </x:c>
      <x:c r="E18" s="16" t="n">
        <x:v>0.4</x:v>
      </x:c>
      <x:c r="F18" s="16" t="n">
        <x:v>2.4</x:v>
      </x:c>
      <x:c r="G18" s="17" t="n">
        <x:v>0.13999999999999999</x:v>
      </x:c>
      <x:c r="H18" s="17" t="n">
        <x:v>0.13999999907979505</x:v>
      </x:c>
      <x:c r="I18" s="17" t="n">
        <x:v>-9.202049400247603e-10</x:v>
      </x:c>
      <x:c r="J18" s="17" t="n">
        <x:v>0.006999999999999999</x:v>
      </x:c>
      <x:c r="K18" s="17" t="n">
        <x:v>0.12280701754385964</x:v>
      </x:c>
      <x:c r="L18" s="17" t="n">
        <x:v>0.12280701683579179</x:v>
      </x:c>
      <x:c r="M18" s="17" t="n">
        <x:v>0.12410139667406492</x:v>
      </x:c>
      <x:c r="N18" s="18" t="n">
        <x:v>0.009619776104331484</x:v>
      </x:c>
      <x:c r="O18" s="27" t="n">
        <x:f>IF(G18=0,P18,IFERROR(N18/G18,""))</x:f>
        <x:v>0.0687126864595106</x:v>
      </x:c>
      <x:c r="P18" s="27" t="n">
        <x:v>0.06789567788847482</x:v>
      </x:c>
      <x:c r="Q18" s="17" t="n">
        <x:v>2.260441520179436</x:v>
      </x:c>
      <x:c r="R18" s="17" t="n">
        <x:v>2.2604415122299457</x:v>
      </x:c>
      <x:c r="S18" s="14" t="str">
        <x:v>feasible_above_1p2</x:v>
      </x:c>
      <x:c r="T18" s="14" t="n">
        <x:v>0.7562109071649469</x:v>
      </x:c>
      <x:c r="U18" s="17" t="n">
        <x:v>0.03773491052707995</x:v>
      </x:c>
      <x:c r="V18" s="17" t="n">
        <x:v>69.99999999525349</x:v>
      </x:c>
      <x:c r="W18" s="17" t="n">
        <x:v>101.32500000000003</x:v>
      </x:c>
      <x:c r="X18" s="17" t="n">
        <x:v>178.57256413013556</x:v>
      </x:c>
      <x:c r="Y18" s="17" t="n">
        <x:v>178.38824020421208</x:v>
      </x:c>
      <x:c r="Z18" s="17" t="n">
        <x:v>178.38824020421208</x:v>
      </x:c>
      <x:c r="AA18" s="17" t="n">
        <x:v>171.32500000000002</x:v>
      </x:c>
      <x:c r="AB18" s="17" t="n">
        <x:v>171.32499999525353</x:v>
      </x:c>
      <x:c r="AC18" s="14" t="n">
        <x:v>0.22300597156692037</x:v>
      </x:c>
      <x:c r="AD18" s="17" t="n">
        <x:v>19.87405719033241</x:v>
      </x:c>
      <x:c r="AE18" s="19" t="n">
        <x:v>25.933280058628213</x:v>
      </x:c>
      <x:c r="AF18" s="19" t="n">
        <x:v>0.7413933791012681</x:v>
      </x:c>
      <x:c r="AG18" s="17" t="n">
        <x:v>0.9569458931863117</x:v>
      </x:c>
      <x:c r="AH18" s="14" t="n">
        <x:v>0</x:v>
      </x:c>
      <x:c r="AI18" s="14" t="n">
        <x:v>0</x:v>
      </x:c>
      <x:c r="AJ18" s="14" t="str">
        <x:v>near_saturation_risk</x:v>
      </x:c>
      <x:c r="AK18" s="14" t="n">
        <x:v>0.9998277672088126</x:v>
      </x:c>
      <x:c r="AL18" s="14" t="n">
        <x:v>0.00012651682015827175</x:v>
      </x:c>
      <x:c r="AM18" s="14" t="str">
        <x:v>condensing_or_supersaturated</x:v>
      </x:c>
      <x:c r="AN18" s="14"/>
      <x:c r="AO18" s="14"/>
      <x:c r="AP18" s="14" t="str">
        <x:v>not_applicable_ideal_connection</x:v>
      </x:c>
      <x:c r="AQ18" s="14" t="str">
        <x:v>within_control_tolerance</x:v>
      </x:c>
      <x:c r="AR18" s="14" t="str">
        <x:v>risk_review_required</x:v>
      </x:c>
      <x:c r="AS18" s="14" t="str"/>
      <x:c r="AT18" s="14" t="n">
        <x:f t="shared" si="0">IFERROR(MAX(0,AG18-1)*100,"")</x:f>
        <x:v>0</x:v>
      </x:c>
      <x:c r="AU18" s="14" t="n">
        <x:f t="shared" si="1">IFERROR(AH18*1000000,"")</x:f>
        <x:v>0</x:v>
      </x:c>
      <x:c r="AV18" s="14" t="n">
        <x:f t="shared" si="2">IFERROR(AI18*1000000,"")</x:f>
        <x:v>0</x:v>
      </x:c>
      <x:c r="AW18" s="14" t="n">
        <x:f t="shared" si="3">IFERROR((AB18-AA18)*1000,"")</x:f>
        <x:v>-0.00000474648231829633</x:v>
      </x:c>
      <x:c r="AX18"/>
      <x:c r="AY18" s="57" t="n">
        <x:v>171.32499999525348</x:v>
      </x:c>
      <x:c r="AZ18" s="57" t="n">
        <x:v>171.32499999525348</x:v>
      </x:c>
      <x:c r="BA18" s="57" t="n">
        <x:v>101.32500000000003</x:v>
      </x:c>
      <x:c r="BB18" s="57" t="n">
        <x:f>IFERROR(AZ18-BA18,"")</x:f>
        <x:v>69.99999999525345</x:v>
      </x:c>
      <x:c r="BC18" s="57" t="n">
        <x:f>IFERROR(AY18-BH18,"")</x:f>
        <x:v>69.99999999525348</x:v>
      </x:c>
      <x:c r="BD18" s="57" t="n">
        <x:f>IFERROR(AB18-W18,"")</x:f>
        <x:v>69.9999999952535</x:v>
      </x:c>
      <x:c r="BE18" s="57" t="n">
        <x:f>IFERROR(AB18-AY18,"")</x:f>
        <x:v>5.684341886080802e-14</x:v>
      </x:c>
      <x:c r="BF18" s="57" t="n">
        <x:f>IFERROR(AY18-AZ18,"")</x:f>
        <x:v>0</x:v>
      </x:c>
      <x:c r="BG18" s="57" t="n">
        <x:f>IFERROR(BA18-W18,"")</x:f>
        <x:v>0</x:v>
      </x:c>
      <x:c r="BH18" s="57" t="n">
        <x:v>101.325</x:v>
      </x:c>
      <x:c r="BI18" s="56" t="str">
        <x:v>RouteA_Focused_External240kW_VSH_PassiveCEGR_total_flow_fixed_4J_600s_20260820.mat</x:v>
      </x:c>
      <x:c r="BJ18" s="56" t="str">
        <x:v>压力：kPa abs；压差/等式偏差：kPa；流量：kg/s</x:v>
      </x:c>
      <x:c r="BK18" s="56" t="str">
        <x:v>p_stack_out=cathode outlet chamber; p_split=ideal tee; p_EGR_up/down=cEGR valve ports; p_comp_in=compressor inlet mixer; p_ambient=environment reservoir</x:v>
      </x:c>
      <x:c r="BL18" s="56" t="str"/>
      <x:c r="BM18" s="56"/>
    </x:row>
    <x:row r="19">
      <x:c r="A19" s="14" t="str">
        <x:v>总流量不变</x:v>
      </x:c>
      <x:c r="B19" s="14" t="str">
        <x:v>external240_total_flow_fixed_j0p4_R0p350</x:v>
      </x:c>
      <x:c r="C19" s="15" t="b">
        <x:v>1</x:v>
      </x:c>
      <x:c r="D19" s="15" t="b">
        <x:v>1</x:v>
      </x:c>
      <x:c r="E19" s="16" t="n">
        <x:v>0.4</x:v>
      </x:c>
      <x:c r="F19" s="16" t="n">
        <x:v>2.4</x:v>
      </x:c>
      <x:c r="G19" s="17" t="n">
        <x:v>0.35</x:v>
      </x:c>
      <x:c r="H19" s="17" t="n">
        <x:v>0.3499999999122585</x:v>
      </x:c>
      <x:c r="I19" s="17" t="n">
        <x:v>-8.774148074763843e-11</x:v>
      </x:c>
      <x:c r="J19" s="17" t="n">
        <x:v>0.017499999999999998</x:v>
      </x:c>
      <x:c r="K19" s="17" t="n">
        <x:v>0.25925925925925924</x:v>
      </x:c>
      <x:c r="L19" s="17" t="n">
        <x:v>0.25925925921111576</x:v>
      </x:c>
      <x:c r="M19" s="17" t="n">
        <x:v>0.26244885785571065</x:v>
      </x:c>
      <x:c r="N19" s="18" t="n">
        <x:v>0.02030841632889516</x:v>
      </x:c>
      <x:c r="O19" s="27" t="n">
        <x:f>IF(G19=0,P19,IFERROR(N19/G19,""))</x:f>
        <x:v>0.058024046653986174</x:v>
      </x:c>
      <x:c r="P19" s="27" t="n">
        <x:v>0.05707205503158733</x:v>
      </x:c>
      <x:c r="Q19" s="17" t="n">
        <x:v>2.053140423174817</x:v>
      </x:c>
      <x:c r="R19" s="17" t="n">
        <x:v>2.053140419866768</x:v>
      </x:c>
      <x:c r="S19" s="14" t="str">
        <x:v>feasible_above_1p2</x:v>
      </x:c>
      <x:c r="T19" s="14" t="n">
        <x:v>0.7528493270095461</x:v>
      </x:c>
      <x:c r="U19" s="17" t="n">
        <x:v>0.08071214857775748</x:v>
      </x:c>
      <x:c r="V19" s="17" t="n">
        <x:v>70.00000000205289</x:v>
      </x:c>
      <x:c r="W19" s="17" t="n">
        <x:v>101.32500000000002</x:v>
      </x:c>
      <x:c r="X19" s="17" t="n">
        <x:v>178.5589426048081</x:v>
      </x:c>
      <x:c r="Y19" s="17" t="n">
        <x:v>178.3746186788821</x:v>
      </x:c>
      <x:c r="Z19" s="17" t="n">
        <x:v>178.37461867888211</x:v>
      </x:c>
      <x:c r="AA19" s="17" t="n">
        <x:v>171.32500000000002</x:v>
      </x:c>
      <x:c r="AB19" s="17" t="n">
        <x:v>171.32500000205292</x:v>
      </x:c>
      <x:c r="AC19" s="14" t="n">
        <x:v>0.42557026146764165</x:v>
      </x:c>
      <x:c r="AD19" s="17" t="n">
        <x:v>17.8182733148019</x:v>
      </x:c>
      <x:c r="AE19" s="19" t="n">
        <x:v>33.96335554910729</x:v>
      </x:c>
      <x:c r="AF19" s="19" t="n">
        <x:v>-2.556140323107229</x:v>
      </x:c>
      <x:c r="AG19" s="17" t="n">
        <x:v>1.15159178729884</x:v>
      </x:c>
      <x:c r="AH19" s="14" t="n">
        <x:v>5.811647397639544e-7</x:v>
      </x:c>
      <x:c r="AI19" s="14" t="n">
        <x:v>0.00003486988438583726</x:v>
      </x:c>
      <x:c r="AJ19" s="14" t="str">
        <x:v>condensing_or_supersaturated</x:v>
      </x:c>
      <x:c r="AK19" s="14" t="n">
        <x:v>0.9998371963772908</x:v>
      </x:c>
      <x:c r="AL19" s="14" t="n">
        <x:v>0.00026467081002434426</x:v>
      </x:c>
      <x:c r="AM19" s="14" t="str">
        <x:v>condensing_or_supersaturated</x:v>
      </x:c>
      <x:c r="AN19" s="14"/>
      <x:c r="AO19" s="14"/>
      <x:c r="AP19" s="14" t="str">
        <x:v>not_applicable_ideal_connection</x:v>
      </x:c>
      <x:c r="AQ19" s="14" t="str">
        <x:v>within_control_tolerance</x:v>
      </x:c>
      <x:c r="AR19" s="14" t="str">
        <x:v>not_acceptable_mixer_condensation</x:v>
      </x:c>
      <x:c r="AS19" s="14" t="str"/>
      <x:c r="AT19" s="14" t="n">
        <x:f t="shared" si="0">IFERROR(MAX(0,AG19-1)*100,"")</x:f>
        <x:v>15.159178729883994</x:v>
      </x:c>
      <x:c r="AU19" s="14" t="n">
        <x:f t="shared" si="1">IFERROR(AH19*1000000,"")</x:f>
        <x:v>0.5811647397639544</x:v>
      </x:c>
      <x:c r="AV19" s="14" t="n">
        <x:f t="shared" si="2">IFERROR(AI19*1000000,"")</x:f>
        <x:v>34.86988438583726</x:v>
      </x:c>
      <x:c r="AW19" s="14" t="n">
        <x:f t="shared" si="3">IFERROR((AB19-AA19)*1000,"")</x:f>
        <x:v>0.0000020529000721580815</x:v>
      </x:c>
      <x:c r="AX19"/>
      <x:c r="AY19" s="57" t="n">
        <x:v>171.3250000020529</x:v>
      </x:c>
      <x:c r="AZ19" s="57" t="n">
        <x:v>171.3250000020529</x:v>
      </x:c>
      <x:c r="BA19" s="57" t="n">
        <x:v>101.32500000000002</x:v>
      </x:c>
      <x:c r="BB19" s="57" t="n">
        <x:f>IFERROR(AZ19-BA19,"")</x:f>
        <x:v>70.00000000205287</x:v>
      </x:c>
      <x:c r="BC19" s="57" t="n">
        <x:f>IFERROR(AY19-BH19,"")</x:f>
        <x:v>70.00000000205289</x:v>
      </x:c>
      <x:c r="BD19" s="57" t="n">
        <x:f>IFERROR(AB19-W19,"")</x:f>
        <x:v>70.0000000020529</x:v>
      </x:c>
      <x:c r="BE19" s="57" t="n">
        <x:f>IFERROR(AB19-AY19,"")</x:f>
        <x:v>2.842170943040401e-14</x:v>
      </x:c>
      <x:c r="BF19" s="57" t="n">
        <x:f>IFERROR(AY19-AZ19,"")</x:f>
        <x:v>0</x:v>
      </x:c>
      <x:c r="BG19" s="57" t="n">
        <x:f>IFERROR(BA19-W19,"")</x:f>
        <x:v>0</x:v>
      </x:c>
      <x:c r="BH19" s="57" t="n">
        <x:v>101.325</x:v>
      </x:c>
      <x:c r="BI19" s="56" t="str">
        <x:v>RouteA_Focused_External240kW_VSH_PassiveCEGR_total_flow_fixed_4J_600s_20260820.mat</x:v>
      </x:c>
      <x:c r="BJ19" s="56" t="str">
        <x:v>压力：kPa abs；压差/等式偏差：kPa；流量：kg/s</x:v>
      </x:c>
      <x:c r="BK19" s="56" t="str">
        <x:v>p_stack_out=cathode outlet chamber; p_split=ideal tee; p_EGR_up/down=cEGR valve ports; p_comp_in=compressor inlet mixer; p_ambient=environment reservoir</x:v>
      </x:c>
      <x:c r="BL19" s="56" t="str"/>
      <x:c r="BM19" s="56"/>
    </x:row>
    <x:row r="20">
      <x:c r="A20" s="14" t="str">
        <x:v>总流量不变</x:v>
      </x:c>
      <x:c r="B20" s="14" t="str">
        <x:v>external240_total_flow_fixed_j0p4_R0p700</x:v>
      </x:c>
      <x:c r="C20" s="15" t="b">
        <x:v>1</x:v>
      </x:c>
      <x:c r="D20" s="15" t="b">
        <x:v>1</x:v>
      </x:c>
      <x:c r="E20" s="16" t="n">
        <x:v>0.4</x:v>
      </x:c>
      <x:c r="F20" s="16" t="n">
        <x:v>2.4</x:v>
      </x:c>
      <x:c r="G20" s="17" t="n">
        <x:v>0.7</x:v>
      </x:c>
      <x:c r="H20" s="17" t="n">
        <x:v>0.7000000000000002</x:v>
      </x:c>
      <x:c r="I20" s="17" t="n">
        <x:v>2.220446049250313e-16</x:v>
      </x:c>
      <x:c r="J20" s="17" t="n">
        <x:v>0.034999999999999996</x:v>
      </x:c>
      <x:c r="K20" s="17" t="n">
        <x:v>0.4117647058823529</x:v>
      </x:c>
      <x:c r="L20" s="17" t="n">
        <x:v>0.4117647058823531</x:v>
      </x:c>
      <x:c r="M20" s="17" t="n">
        <x:v>0.41791381434073616</x:v>
      </x:c>
      <x:c r="N20" s="18" t="n">
        <x:v>0.03225454358717988</x:v>
      </x:c>
      <x:c r="O20" s="27" t="n">
        <x:f>IF(G20=0,P20,IFERROR(N20/G20,""))</x:f>
        <x:v>0.04607791941025697</x:v>
      </x:c>
      <x:c r="P20" s="27" t="n">
        <x:v>0.044925349683545786</x:v>
      </x:c>
      <x:c r="Q20" s="17" t="n">
        <x:v>1.7060139036607136</x:v>
      </x:c>
      <x:c r="R20" s="17" t="n">
        <x:v>1.7060139036607114</x:v>
      </x:c>
      <x:c r="S20" s="14" t="str">
        <x:v>feasible_above_1p2</x:v>
      </x:c>
      <x:c r="T20" s="14" t="n">
        <x:v>0.7471681321251942</x:v>
      </x:c>
      <x:c r="U20" s="17" t="n">
        <x:v>0.13060503596693396</x:v>
      </x:c>
      <x:c r="V20" s="17" t="n">
        <x:v>70.00000000000001</x:v>
      </x:c>
      <x:c r="W20" s="17" t="n">
        <x:v>101.32500000000002</x:v>
      </x:c>
      <x:c r="X20" s="17" t="n">
        <x:v>178.5387139282533</x:v>
      </x:c>
      <x:c r="Y20" s="17" t="n">
        <x:v>178.3543900023272</x:v>
      </x:c>
      <x:c r="Z20" s="17" t="n">
        <x:v>178.35439000232728</x:v>
      </x:c>
      <x:c r="AA20" s="17" t="n">
        <x:v>171.32500000000002</x:v>
      </x:c>
      <x:c r="AB20" s="17" t="n">
        <x:v>171.32500000000005</x:v>
      </x:c>
      <x:c r="AC20" s="14" t="n">
        <x:v>0.7415246939194352</x:v>
      </x:c>
      <x:c r="AD20" s="17" t="n">
        <x:v>14.500627094294968</x:v>
      </x:c>
      <x:c r="AE20" s="19" t="n">
        <x:v>44.29694579745029</x:v>
      </x:c>
      <x:c r="AF20" s="19" t="n">
        <x:v>-2.7730162794094895</x:v>
      </x:c>
      <x:c r="AG20" s="17" t="n">
        <x:v>1.1525077096754235</x:v>
      </x:c>
      <x:c r="AH20" s="14" t="n">
        <x:v>9.985320235615668e-7</x:v>
      </x:c>
      <x:c r="AI20" s="14" t="n">
        <x:v>0.00005991192141369401</x:v>
      </x:c>
      <x:c r="AJ20" s="14" t="str">
        <x:v>condensing_or_supersaturated</x:v>
      </x:c>
      <x:c r="AK20" s="14" t="n">
        <x:v>1.0001958821079187</x:v>
      </x:c>
      <x:c r="AL20" s="14" t="n">
        <x:v>0.0004650989626815667</x:v>
      </x:c>
      <x:c r="AM20" s="14" t="str">
        <x:v>condensing_or_supersaturated</x:v>
      </x:c>
      <x:c r="AN20" s="14"/>
      <x:c r="AO20" s="14"/>
      <x:c r="AP20" s="14" t="str">
        <x:v>not_applicable_ideal_connection</x:v>
      </x:c>
      <x:c r="AQ20" s="14" t="str">
        <x:v>within_control_tolerance</x:v>
      </x:c>
      <x:c r="AR20" s="14" t="str">
        <x:v>not_acceptable_mixer_condensation</x:v>
      </x:c>
      <x:c r="AS20" s="14" t="str"/>
      <x:c r="AT20" s="14" t="n">
        <x:f t="shared" si="0">IFERROR(MAX(0,AG20-1)*100,"")</x:f>
        <x:v>15.250770967542348</x:v>
      </x:c>
      <x:c r="AU20" s="14" t="n">
        <x:f t="shared" si="1">IFERROR(AH20*1000000,"")</x:f>
        <x:v>0.9985320235615668</x:v>
      </x:c>
      <x:c r="AV20" s="14" t="n">
        <x:f t="shared" si="2">IFERROR(AI20*1000000,"")</x:f>
        <x:v>59.91192141369401</x:v>
      </x:c>
      <x:c r="AW20" s="14" t="n">
        <x:f t="shared" si="3">IFERROR((AB20-AA20)*1000,"")</x:f>
        <x:v>2.8421709430404007e-11</x:v>
      </x:c>
      <x:c r="AX20"/>
      <x:c r="AY20" s="57" t="n">
        <x:v>171.32500000000002</x:v>
      </x:c>
      <x:c r="AZ20" s="57" t="n">
        <x:v>171.32500000000002</x:v>
      </x:c>
      <x:c r="BA20" s="57" t="n">
        <x:v>101.32500000000002</x:v>
      </x:c>
      <x:c r="BB20" s="57" t="n">
        <x:f>IFERROR(AZ20-BA20,"")</x:f>
        <x:v>70</x:v>
      </x:c>
      <x:c r="BC20" s="57" t="n">
        <x:f>IFERROR(AY20-BH20,"")</x:f>
        <x:v>70.00000000000001</x:v>
      </x:c>
      <x:c r="BD20" s="57" t="n">
        <x:f>IFERROR(AB20-W20,"")</x:f>
        <x:v>70.00000000000003</x:v>
      </x:c>
      <x:c r="BE20" s="57" t="n">
        <x:f>IFERROR(AB20-AY20,"")</x:f>
        <x:v>2.842170943040401e-14</x:v>
      </x:c>
      <x:c r="BF20" s="57" t="n">
        <x:f>IFERROR(AY20-AZ20,"")</x:f>
        <x:v>0</x:v>
      </x:c>
      <x:c r="BG20" s="57" t="n">
        <x:f>IFERROR(BA20-W20,"")</x:f>
        <x:v>0</x:v>
      </x:c>
      <x:c r="BH20" s="57" t="n">
        <x:v>101.325</x:v>
      </x:c>
      <x:c r="BI20" s="56" t="str">
        <x:v>RouteA_Focused_External240kW_VSH_PassiveCEGR_total_flow_fixed_4J_600s_20260820.mat</x:v>
      </x:c>
      <x:c r="BJ20" s="56" t="str">
        <x:v>压力：kPa abs；压差/等式偏差：kPa；流量：kg/s</x:v>
      </x:c>
      <x:c r="BK20" s="56" t="str">
        <x:v>p_stack_out=cathode outlet chamber; p_split=ideal tee; p_EGR_up/down=cEGR valve ports; p_comp_in=compressor inlet mixer; p_ambient=environment reservoir</x:v>
      </x:c>
      <x:c r="BL20" s="56" t="str"/>
      <x:c r="BM20" s="56"/>
    </x:row>
    <x:row r="21">
      <x:c r="A21" s="14" t="str">
        <x:v>总流量不变</x:v>
      </x:c>
      <x:c r="B21" s="14" t="str">
        <x:v>external240_total_flow_fixed_j0p4_R1p050</x:v>
      </x:c>
      <x:c r="C21" s="15" t="b">
        <x:v>1</x:v>
      </x:c>
      <x:c r="D21" s="15" t="b">
        <x:v>1</x:v>
      </x:c>
      <x:c r="E21" s="16" t="n">
        <x:v>0.4</x:v>
      </x:c>
      <x:c r="F21" s="16" t="n">
        <x:v>2.4</x:v>
      </x:c>
      <x:c r="G21" s="17" t="n">
        <x:v>1.0499999999999998</x:v>
      </x:c>
      <x:c r="H21" s="17" t="n">
        <x:v>1.050000007311758</x:v>
      </x:c>
      <x:c r="I21" s="17" t="n">
        <x:v>7.311758087880094e-9</x:v>
      </x:c>
      <x:c r="J21" s="17" t="n">
        <x:v>0.05249999999999999</x:v>
      </x:c>
      <x:c r="K21" s="17" t="n">
        <x:v>0.5121951219512195</x:v>
      </x:c>
      <x:c r="L21" s="17" t="n">
        <x:v>0.5121951236910786</x:v>
      </x:c>
      <x:c r="M21" s="17" t="n">
        <x:v>0.5208664327898459</x:v>
      </x:c>
      <x:c r="N21" s="18" t="n">
        <x:v>0.04012150568681586</x:v>
      </x:c>
      <x:c r="O21" s="27" t="n">
        <x:f>IF(G21=0,P21,IFERROR(N21/G21,""))</x:f>
        <x:v>0.038210957796967496</x:v>
      </x:c>
      <x:c r="P21" s="27" t="n">
        <x:v>0.03690689000364649</x:v>
      </x:c>
      <x:c r="Q21" s="17" t="n">
        <x:v>1.3658630525679212</x:v>
      </x:c>
      <x:c r="R21" s="17" t="n">
        <x:v>1.3658628687500187</x:v>
      </x:c>
      <x:c r="S21" s="14" t="str">
        <x:v>feasible_above_1p2</x:v>
      </x:c>
      <x:c r="T21" s="14" t="n">
        <x:v>0.7404025091349857</x:v>
      </x:c>
      <x:c r="U21" s="17" t="n">
        <x:v>0.16481789360152854</x:v>
      </x:c>
      <x:c r="V21" s="17" t="n">
        <x:v>70.00000028808273</x:v>
      </x:c>
      <x:c r="W21" s="17" t="n">
        <x:v>101.32500000000002</x:v>
      </x:c>
      <x:c r="X21" s="17" t="n">
        <x:v>178.52344513560993</x:v>
      </x:c>
      <x:c r="Y21" s="17" t="n">
        <x:v>178.33912120926877</x:v>
      </x:c>
      <x:c r="Z21" s="17" t="n">
        <x:v>178.33912120926877</x:v>
      </x:c>
      <x:c r="AA21" s="17" t="n">
        <x:v>171.32500000000002</x:v>
      </x:c>
      <x:c r="AB21" s="17" t="n">
        <x:v>171.32500028808275</x:v>
      </x:c>
      <x:c r="AC21" s="14" t="n">
        <x:v>0.9937148361148613</x:v>
      </x:c>
      <x:c r="AD21" s="17" t="n">
        <x:v>11.36987629200912</x:v>
      </x:c>
      <x:c r="AE21" s="19" t="n">
        <x:v>51.80825442553174</x:v>
      </x:c>
      <x:c r="AF21" s="19" t="n">
        <x:v>-1.569833204388189</x:v>
      </x:c>
      <x:c r="AG21" s="17" t="n">
        <x:v>1.079515219360598</x:v>
      </x:c>
      <x:c r="AH21" s="14" t="n">
        <x:v>7.604642715374397e-7</x:v>
      </x:c>
      <x:c r="AI21" s="14" t="n">
        <x:v>0.00004562785629224638</x:v>
      </x:c>
      <x:c r="AJ21" s="14" t="str">
        <x:v>condensing_or_supersaturated</x:v>
      </x:c>
      <x:c r="AK21" s="14" t="n">
        <x:v>1.0003479016938714</x:v>
      </x:c>
      <x:c r="AL21" s="14" t="n">
        <x:v>0.0006161728879014821</x:v>
      </x:c>
      <x:c r="AM21" s="14" t="str">
        <x:v>condensing_or_supersaturated</x:v>
      </x:c>
      <x:c r="AN21" s="14"/>
      <x:c r="AO21" s="14"/>
      <x:c r="AP21" s="14" t="str">
        <x:v>not_applicable_ideal_connection</x:v>
      </x:c>
      <x:c r="AQ21" s="14" t="str">
        <x:v>within_control_tolerance</x:v>
      </x:c>
      <x:c r="AR21" s="14" t="str">
        <x:v>not_acceptable_mixer_condensation</x:v>
      </x:c>
      <x:c r="AS21" s="14" t="str"/>
      <x:c r="AT21" s="14" t="n">
        <x:f t="shared" si="0">IFERROR(MAX(0,AG21-1)*100,"")</x:f>
        <x:v>7.951521936059791</x:v>
      </x:c>
      <x:c r="AU21" s="14" t="n">
        <x:f t="shared" si="1">IFERROR(AH21*1000000,"")</x:f>
        <x:v>0.7604642715374397</x:v>
      </x:c>
      <x:c r="AV21" s="14" t="n">
        <x:f t="shared" si="2">IFERROR(AI21*1000000,"")</x:f>
        <x:v>45.62785629224638</x:v>
      </x:c>
      <x:c r="AW21" s="14" t="n">
        <x:f t="shared" si="3">IFERROR((AB21-AA21)*1000,"")</x:f>
        <x:v>0.0002880827310036693</x:v>
      </x:c>
      <x:c r="AX21"/>
      <x:c r="AY21" s="57" t="n">
        <x:v>171.32500028808272</x:v>
      </x:c>
      <x:c r="AZ21" s="57" t="n">
        <x:v>171.32500028808272</x:v>
      </x:c>
      <x:c r="BA21" s="57" t="n">
        <x:v>101.32500000000002</x:v>
      </x:c>
      <x:c r="BB21" s="57" t="n">
        <x:f>IFERROR(AZ21-BA21,"")</x:f>
        <x:v>70.0000002880827</x:v>
      </x:c>
      <x:c r="BC21" s="57" t="n">
        <x:f>IFERROR(AY21-BH21,"")</x:f>
        <x:v>70.00000028808272</x:v>
      </x:c>
      <x:c r="BD21" s="57" t="n">
        <x:f>IFERROR(AB21-W21,"")</x:f>
        <x:v>70.00000028808273</x:v>
      </x:c>
      <x:c r="BE21" s="57" t="n">
        <x:f>IFERROR(AB21-AY21,"")</x:f>
        <x:v>2.842170943040401e-14</x:v>
      </x:c>
      <x:c r="BF21" s="57" t="n">
        <x:f>IFERROR(AY21-AZ21,"")</x:f>
        <x:v>0</x:v>
      </x:c>
      <x:c r="BG21" s="57" t="n">
        <x:f>IFERROR(BA21-W21,"")</x:f>
        <x:v>0</x:v>
      </x:c>
      <x:c r="BH21" s="57" t="n">
        <x:v>101.325</x:v>
      </x:c>
      <x:c r="BI21" s="56" t="str">
        <x:v>RouteA_Focused_External240kW_VSH_PassiveCEGR_total_flow_fixed_4J_600s_20260820.mat</x:v>
      </x:c>
      <x:c r="BJ21" s="56" t="str">
        <x:v>压力：kPa abs；压差/等式偏差：kPa；流量：kg/s</x:v>
      </x:c>
      <x:c r="BK21" s="56" t="str">
        <x:v>p_stack_out=cathode outlet chamber; p_split=ideal tee; p_EGR_up/down=cEGR valve ports; p_comp_in=compressor inlet mixer; p_ambient=environment reservoir</x:v>
      </x:c>
      <x:c r="BL21" s="56" t="str"/>
      <x:c r="BM21" s="56"/>
    </x:row>
    <x:row r="22">
      <x:c r="A22" s="14" t="str">
        <x:v>总流量不变</x:v>
      </x:c>
      <x:c r="B22" s="14" t="str">
        <x:v>external240_total_flow_fixed_j0p4_R1p400</x:v>
      </x:c>
      <x:c r="C22" s="15" t="b">
        <x:v>1</x:v>
      </x:c>
      <x:c r="D22" s="15" t="b">
        <x:v>1</x:v>
      </x:c>
      <x:c r="E22" s="16" t="n">
        <x:v>0.4</x:v>
      </x:c>
      <x:c r="F22" s="16" t="n">
        <x:v>2.4</x:v>
      </x:c>
      <x:c r="G22" s="17" t="n">
        <x:v>1.4</x:v>
      </x:c>
      <x:c r="H22" s="17" t="n">
        <x:v>1.4000000001588913</x:v>
      </x:c>
      <x:c r="I22" s="17" t="n">
        <x:v>1.5889134452606868e-10</x:v>
      </x:c>
      <x:c r="J22" s="17" t="n">
        <x:v>0.06999999999999999</x:v>
      </x:c>
      <x:c r="K22" s="17" t="n">
        <x:v>0.5833333333333334</x:v>
      </x:c>
      <x:c r="L22" s="17" t="n">
        <x:v>0.5833333333609186</x:v>
      </x:c>
      <x:c r="M22" s="17" t="n">
        <x:v>0.5933388385379308</x:v>
      </x:c>
      <x:c r="N22" s="18" t="n">
        <x:v>0.04569393675107505</x:v>
      </x:c>
      <x:c r="O22" s="27" t="n">
        <x:f>IF(G22=0,P22,IFERROR(N22/G22,""))</x:f>
        <x:v>0.032638526250767894</x:v>
      </x:c>
      <x:c r="P22" s="27" t="n">
        <x:v>0.03131760165364366</x:v>
      </x:c>
      <x:c r="Q22" s="17" t="n">
        <x:v>1.0799112991959312</x:v>
      </x:c>
      <x:c r="R22" s="17" t="n">
        <x:v>1.0799112990860977</x:v>
      </x:c>
      <x:c r="S22" s="14" t="str">
        <x:v>risk_1_to_1p2</x:v>
      </x:c>
      <x:c r="T22" s="14" t="n">
        <x:v>0.7291096996839311</x:v>
      </x:c>
      <x:c r="U22" s="17" t="n">
        <x:v>0.18830513527353973</x:v>
      </x:c>
      <x:c r="V22" s="17" t="n">
        <x:v>69.99999999914638</x:v>
      </x:c>
      <x:c r="W22" s="17" t="n">
        <x:v>101.32500000000002</x:v>
      </x:c>
      <x:c r="X22" s="17" t="n">
        <x:v>178.52174636180345</x:v>
      </x:c>
      <x:c r="Y22" s="17" t="n">
        <x:v>178.33742243587372</x:v>
      </x:c>
      <x:c r="Z22" s="17" t="n">
        <x:v>178.33742243587375</x:v>
      </x:c>
      <x:c r="AA22" s="17" t="n">
        <x:v>171.32500000000002</x:v>
      </x:c>
      <x:c r="AB22" s="17" t="n">
        <x:v>171.3249999991464</x:v>
      </x:c>
      <x:c r="AC22" s="14" t="n">
        <x:v>1.0093036231512542</x:v>
      </x:c>
      <x:c r="AD22" s="17" t="n">
        <x:v>8.798315343243798</x:v>
      </x:c>
      <x:c r="AE22" s="19" t="n">
        <x:v>55.629632063632414</x:v>
      </x:c>
      <x:c r="AF22" s="19" t="n">
        <x:v>-0.036351027674314196</x:v>
      </x:c>
      <x:c r="AG22" s="17" t="n">
        <x:v>1.0017357586063131</x:v>
      </x:c>
      <x:c r="AH22" s="14" t="n">
        <x:v>2.8969989771338285e-9</x:v>
      </x:c>
      <x:c r="AI22" s="14" t="n">
        <x:v>1.738199386280297e-7</x:v>
      </x:c>
      <x:c r="AJ22" s="14" t="str">
        <x:v>condensing_or_supersaturated</x:v>
      </x:c>
      <x:c r="AK22" s="14" t="n">
        <x:v>1.000418318068929</x:v>
      </x:c>
      <x:c r="AL22" s="14" t="n">
        <x:v>0.0006251740695176164</x:v>
      </x:c>
      <x:c r="AM22" s="14" t="str">
        <x:v>condensing_or_supersaturated</x:v>
      </x:c>
      <x:c r="AN22" s="14"/>
      <x:c r="AO22" s="14"/>
      <x:c r="AP22" s="14" t="str">
        <x:v>not_applicable_ideal_connection</x:v>
      </x:c>
      <x:c r="AQ22" s="14" t="str">
        <x:v>within_control_tolerance</x:v>
      </x:c>
      <x:c r="AR22" s="14" t="str">
        <x:v>not_acceptable_mixer_condensation</x:v>
      </x:c>
      <x:c r="AS22" s="14" t="str"/>
      <x:c r="AT22" s="14" t="n">
        <x:f t="shared" si="0">IFERROR(MAX(0,AG22-1)*100,"")</x:f>
        <x:v>0.17357586063131425</x:v>
      </x:c>
      <x:c r="AU22" s="14" t="n">
        <x:f t="shared" si="1">IFERROR(AH22*1000000,"")</x:f>
        <x:v>0.0028969989771338283</x:v>
      </x:c>
      <x:c r="AV22" s="14" t="n">
        <x:f t="shared" si="2">IFERROR(AI22*1000000,"")</x:f>
        <x:v>0.17381993862802972</x:v>
      </x:c>
      <x:c r="AW22" s="14" t="n">
        <x:f t="shared" si="3">IFERROR((AB22-AA22)*1000,"")</x:f>
        <x:v>-8.53617621032754e-7</x:v>
      </x:c>
      <x:c r="AX22"/>
      <x:c r="AY22" s="57" t="n">
        <x:v>171.32499999914634</x:v>
      </x:c>
      <x:c r="AZ22" s="57" t="n">
        <x:v>171.32499999914634</x:v>
      </x:c>
      <x:c r="BA22" s="57" t="n">
        <x:v>101.32500000000002</x:v>
      </x:c>
      <x:c r="BB22" s="57" t="n">
        <x:f>IFERROR(AZ22-BA22,"")</x:f>
        <x:v>69.99999999914633</x:v>
      </x:c>
      <x:c r="BC22" s="57" t="n">
        <x:f>IFERROR(AY22-BH22,"")</x:f>
        <x:v>69.99999999914634</x:v>
      </x:c>
      <x:c r="BD22" s="57" t="n">
        <x:f>IFERROR(AB22-W22,"")</x:f>
        <x:v>69.99999999914638</x:v>
      </x:c>
      <x:c r="BE22" s="57" t="n">
        <x:f>IFERROR(AB22-AY22,"")</x:f>
        <x:v>5.684341886080802e-14</x:v>
      </x:c>
      <x:c r="BF22" s="57" t="n">
        <x:f>IFERROR(AY22-AZ22,"")</x:f>
        <x:v>0</x:v>
      </x:c>
      <x:c r="BG22" s="57" t="n">
        <x:f>IFERROR(BA22-W22,"")</x:f>
        <x:v>0</x:v>
      </x:c>
      <x:c r="BH22" s="57" t="n">
        <x:v>101.325</x:v>
      </x:c>
      <x:c r="BI22" s="56" t="str">
        <x:v>RouteA_Focused_External240kW_VSH_PassiveCEGR_total_flow_fixed_4J_600s_20260820.mat</x:v>
      </x:c>
      <x:c r="BJ22" s="56" t="str">
        <x:v>压力：kPa abs；压差/等式偏差：kPa；流量：kg/s</x:v>
      </x:c>
      <x:c r="BK22" s="56" t="str">
        <x:v>p_stack_out=cathode outlet chamber; p_split=ideal tee; p_EGR_up/down=cEGR valve ports; p_comp_in=compressor inlet mixer; p_ambient=environment reservoir</x:v>
      </x:c>
      <x:c r="BL22" s="56" t="str"/>
      <x:c r="BM22" s="56"/>
    </x:row>
    <x:row r="23">
      <x:c r="A23" s="14" t="str">
        <x:v>总流量不变</x:v>
      </x:c>
      <x:c r="B23" s="14" t="str">
        <x:v>external240_total_flow_fixed_j1p0_R0p000</x:v>
      </x:c>
      <x:c r="C23" s="15" t="b">
        <x:v>1</x:v>
      </x:c>
      <x:c r="D23" s="15" t="b">
        <x:v>1</x:v>
      </x:c>
      <x:c r="E23" s="16" t="n">
        <x:v>1</x:v>
      </x:c>
      <x:c r="F23" s="16" t="n">
        <x:v>1.8</x:v>
      </x:c>
      <x:c r="G23" s="17" t="n">
        <x:v>0</x:v>
      </x:c>
      <x:c r="H23" s="17" t="n">
        <x:v>2.448253966587271e-7</x:v>
      </x:c>
      <x:c r="I23" s="17" t="n">
        <x:v>2.448253966587271e-7</x:v>
      </x:c>
      <x:c r="J23" s="17" t="n">
        <x:v>0.005</x:v>
      </x:c>
      <x:c r="K23" s="17" t="n">
        <x:v>0</x:v>
      </x:c>
      <x:c r="L23" s="17" t="n">
        <x:v>2.44825336719267e-7</x:v>
      </x:c>
      <x:c r="M23" s="17" t="n">
        <x:v>2.4363399243012227e-7</x:v>
      </x:c>
      <x:c r="N23" s="18" t="n">
        <x:v>3.5958321805119365e-8</x:v>
      </x:c>
      <x:c r="O23" s="27" t="n">
        <x:f>IF(G23=0,P23,IFERROR(N23/G23,""))</x:f>
        <x:v>0.14759152729791278</x:v>
      </x:c>
      <x:c r="P23" s="27" t="n">
        <x:v>0.14759152729791278</x:v>
      </x:c>
      <x:c r="Q23" s="17" t="n">
        <x:v>1.7989313816065564</x:v>
      </x:c>
      <x:c r="R23" s="17" t="n">
        <x:v>1.798931381606556</x:v>
      </x:c>
      <x:c r="S23" s="14" t="str">
        <x:v>feasible_above_1p2</x:v>
      </x:c>
      <x:c r="T23" s="14" t="n">
        <x:v>0.7090732445790304</x:v>
      </x:c>
      <x:c r="U23" s="17" t="n">
        <x:v>9.999999999999997e-8</x:v>
      </x:c>
      <x:c r="V23" s="17" t="n">
        <x:v>130</x:v>
      </x:c>
      <x:c r="W23" s="17" t="n">
        <x:v>101.32500000000002</x:v>
      </x:c>
      <x:c r="X23" s="17" t="n">
        <x:v>247.20534373068332</x:v>
      </x:c>
      <x:c r="Y23" s="17" t="n">
        <x:v>246.55733621760734</x:v>
      </x:c>
      <x:c r="Z23" s="17" t="n">
        <x:v>246.5573362176074</x:v>
      </x:c>
      <x:c r="AA23" s="17" t="n">
        <x:v>231.325</x:v>
      </x:c>
      <x:c r="AB23" s="17" t="n">
        <x:v>231.32500000000005</x:v>
      </x:c>
      <x:c r="AC23" s="14" t="n">
        <x:v>0.07235350862304196</x:v>
      </x:c>
      <x:c r="AD23" s="17" t="n">
        <x:v>21.27818316684163</x:v>
      </x:c>
      <x:c r="AE23" s="19" t="n">
        <x:v>18.17254491636305</x:v>
      </x:c>
      <x:c r="AF23" s="19" t="n">
        <x:v>8.900244452142978</x:v>
      </x:c>
      <x:c r="AG23" s="17" t="n">
        <x:v>0.5604227637084394</x:v>
      </x:c>
      <x:c r="AH23" s="14" t="n">
        <x:v>0</x:v>
      </x:c>
      <x:c r="AI23" s="14" t="n">
        <x:v>0</x:v>
      </x:c>
      <x:c r="AJ23" s="14" t="str">
        <x:v>gas_phase_noncondensing</x:v>
      </x:c>
      <x:c r="AK23" s="14" t="n">
        <x:v>1.0000398960520671</x:v>
      </x:c>
      <x:c r="AL23" s="14" t="n">
        <x:v>0.0004739102009267279</x:v>
      </x:c>
      <x:c r="AM23" s="14" t="str">
        <x:v>condensing_or_supersaturated</x:v>
      </x:c>
      <x:c r="AN23" s="14"/>
      <x:c r="AO23" s="14"/>
      <x:c r="AP23" s="14" t="str">
        <x:v>not_applicable_ideal_connection</x:v>
      </x:c>
      <x:c r="AQ23" s="14" t="str">
        <x:v>not_applicable_zero_target</x:v>
      </x:c>
      <x:c r="AR23" s="14" t="str">
        <x:v>candidate_feasible_gas_phase_screen</x:v>
      </x:c>
      <x:c r="AS23" s="14" t="str"/>
      <x:c r="AT23" s="14" t="n">
        <x:f t="shared" si="0">IFERROR(MAX(0,AG23-1)*100,"")</x:f>
        <x:v>0</x:v>
      </x:c>
      <x:c r="AU23" s="14" t="n">
        <x:f t="shared" si="1">IFERROR(AH23*1000000,"")</x:f>
        <x:v>0</x:v>
      </x:c>
      <x:c r="AV23" s="14" t="n">
        <x:f t="shared" si="2">IFERROR(AI23*1000000,"")</x:f>
        <x:v>0</x:v>
      </x:c>
      <x:c r="AW23" s="14" t="n">
        <x:f t="shared" si="3">IFERROR((AB23-AA23)*1000,"")</x:f>
        <x:v>5.6843418860808015e-11</x:v>
      </x:c>
      <x:c r="AX23"/>
      <x:c r="AY23" s="57" t="n">
        <x:v>231.325</x:v>
      </x:c>
      <x:c r="AZ23" s="57" t="n">
        <x:v>231.325</x:v>
      </x:c>
      <x:c r="BA23" s="57" t="n">
        <x:v>101.32500000000002</x:v>
      </x:c>
      <x:c r="BB23" s="57" t="n">
        <x:f>IFERROR(AZ23-BA23,"")</x:f>
        <x:v>129.99999999999997</x:v>
      </x:c>
      <x:c r="BC23" s="57" t="n">
        <x:f>IFERROR(AY23-BH23,"")</x:f>
        <x:v>130</x:v>
      </x:c>
      <x:c r="BD23" s="57" t="n">
        <x:f>IFERROR(AB23-W23,"")</x:f>
        <x:v>130.00000000000003</x:v>
      </x:c>
      <x:c r="BE23" s="57" t="n">
        <x:f>IFERROR(AB23-AY23,"")</x:f>
        <x:v>5.684341886080802e-14</x:v>
      </x:c>
      <x:c r="BF23" s="57" t="n">
        <x:f>IFERROR(AY23-AZ23,"")</x:f>
        <x:v>0</x:v>
      </x:c>
      <x:c r="BG23" s="57" t="n">
        <x:f>IFERROR(BA23-W23,"")</x:f>
        <x:v>0</x:v>
      </x:c>
      <x:c r="BH23" s="57" t="n">
        <x:v>101.325</x:v>
      </x:c>
      <x:c r="BI23" s="56" t="str">
        <x:v>RouteA_Focused_External240kW_VSH_PassiveCEGR_total_flow_fixed_4J_600s_20260820.mat</x:v>
      </x:c>
      <x:c r="BJ23" s="56" t="str">
        <x:v>压力：kPa abs；压差/等式偏差：kPa；流量：kg/s</x:v>
      </x:c>
      <x:c r="BK23" s="56" t="str">
        <x:v>p_stack_out=cathode outlet chamber; p_split=ideal tee; p_EGR_up/down=cEGR valve ports; p_comp_in=compressor inlet mixer; p_ambient=environment reservoir</x:v>
      </x:c>
      <x:c r="BL23" s="56" t="str"/>
      <x:c r="BM23" s="56"/>
    </x:row>
    <x:row r="24">
      <x:c r="A24" s="14" t="str">
        <x:v>总流量不变</x:v>
      </x:c>
      <x:c r="B24" s="14" t="str">
        <x:v>external240_total_flow_fixed_j1p0_R0p080</x:v>
      </x:c>
      <x:c r="C24" s="15" t="b">
        <x:v>1</x:v>
      </x:c>
      <x:c r="D24" s="15" t="b">
        <x:v>1</x:v>
      </x:c>
      <x:c r="E24" s="16" t="n">
        <x:v>1</x:v>
      </x:c>
      <x:c r="F24" s="16" t="n">
        <x:v>1.8</x:v>
      </x:c>
      <x:c r="G24" s="17" t="n">
        <x:v>0.08000000000000002</x:v>
      </x:c>
      <x:c r="H24" s="17" t="n">
        <x:v>0.07999999999999972</x:v>
      </x:c>
      <x:c r="I24" s="17" t="n">
        <x:v>-2.914335439641036e-16</x:v>
      </x:c>
      <x:c r="J24" s="17" t="n">
        <x:v>0.005</x:v>
      </x:c>
      <x:c r="K24" s="17" t="n">
        <x:v>0.07407407407407408</x:v>
      </x:c>
      <x:c r="L24" s="17" t="n">
        <x:v>0.07407407407407382</x:v>
      </x:c>
      <x:c r="M24" s="17" t="n">
        <x:v>0.07378134086214327</x:v>
      </x:c>
      <x:c r="N24" s="18" t="n">
        <x:v>0.010879508749643963</x:v>
      </x:c>
      <x:c r="O24" s="27" t="n">
        <x:f>IF(G24=0,P24,IFERROR(N24/G24,""))</x:f>
        <x:v>0.1359938593705495</x:v>
      </x:c>
      <x:c r="P24" s="27" t="n">
        <x:v>0.1365765908890408</x:v>
      </x:c>
      <x:c r="Q24" s="17" t="n">
        <x:v>1.7187092266146722</x:v>
      </x:c>
      <x:c r="R24" s="17" t="n">
        <x:v>1.7187092266146717</x:v>
      </x:c>
      <x:c r="S24" s="14" t="str">
        <x:v>feasible_above_1p2</x:v>
      </x:c>
      <x:c r="T24" s="14" t="n">
        <x:v>0.7073427397949711</x:v>
      </x:c>
      <x:c r="U24" s="17" t="n">
        <x:v>0.032740356274327434</x:v>
      </x:c>
      <x:c r="V24" s="17" t="n">
        <x:v>130</x:v>
      </x:c>
      <x:c r="W24" s="17" t="n">
        <x:v>101.32500000000003</x:v>
      </x:c>
      <x:c r="X24" s="17" t="n">
        <x:v>247.18711155177772</x:v>
      </x:c>
      <x:c r="Y24" s="17" t="n">
        <x:v>246.5391040387018</x:v>
      </x:c>
      <x:c r="Z24" s="17" t="n">
        <x:v>246.53910403870185</x:v>
      </x:c>
      <x:c r="AA24" s="17" t="n">
        <x:v>231.325</x:v>
      </x:c>
      <x:c r="AB24" s="17" t="n">
        <x:v>231.32500000000002</x:v>
      </x:c>
      <x:c r="AC24" s="14" t="n">
        <x:v>0.1793123641195822</x:v>
      </x:c>
      <x:c r="AD24" s="17" t="n">
        <x:v>20.178047578044403</x:v>
      </x:c>
      <x:c r="AE24" s="19" t="n">
        <x:v>23.384062086144922</x:v>
      </x:c>
      <x:c r="AF24" s="19" t="n">
        <x:v>-0.12901051760027116</x:v>
      </x:c>
      <x:c r="AG24" s="17" t="n">
        <x:v>1.0078124396501689</x:v>
      </x:c>
      <x:c r="AH24" s="14" t="n">
        <x:v>1.7570323173091628e-8</x:v>
      </x:c>
      <x:c r="AI24" s="14" t="n">
        <x:v>0.0000010542193903854976</x:v>
      </x:c>
      <x:c r="AJ24" s="14" t="str">
        <x:v>condensing_or_supersaturated</x:v>
      </x:c>
      <x:c r="AK24" s="14" t="n">
        <x:v>1.0002671582271376</x:v>
      </x:c>
      <x:c r="AL24" s="14" t="n">
        <x:v>0.0006096968726416462</x:v>
      </x:c>
      <x:c r="AM24" s="14" t="str">
        <x:v>condensing_or_supersaturated</x:v>
      </x:c>
      <x:c r="AN24" s="14"/>
      <x:c r="AO24" s="14"/>
      <x:c r="AP24" s="14" t="str">
        <x:v>not_applicable_ideal_connection</x:v>
      </x:c>
      <x:c r="AQ24" s="14" t="str">
        <x:v>within_control_tolerance</x:v>
      </x:c>
      <x:c r="AR24" s="14" t="str">
        <x:v>not_acceptable_mixer_condensation</x:v>
      </x:c>
      <x:c r="AS24" s="14" t="str"/>
      <x:c r="AT24" s="14" t="n">
        <x:f t="shared" si="0">IFERROR(MAX(0,AG24-1)*100,"")</x:f>
        <x:v>0.7812439650168868</x:v>
      </x:c>
      <x:c r="AU24" s="14" t="n">
        <x:f t="shared" si="1">IFERROR(AH24*1000000,"")</x:f>
        <x:v>0.017570323173091627</x:v>
      </x:c>
      <x:c r="AV24" s="14" t="n">
        <x:f t="shared" si="2">IFERROR(AI24*1000000,"")</x:f>
        <x:v>1.0542193903854977</x:v>
      </x:c>
      <x:c r="AW24" s="14" t="n">
        <x:f t="shared" si="3">IFERROR((AB24-AA24)*1000,"")</x:f>
        <x:v>2.8421709430404007e-11</x:v>
      </x:c>
      <x:c r="AX24"/>
      <x:c r="AY24" s="57" t="n">
        <x:v>231.325</x:v>
      </x:c>
      <x:c r="AZ24" s="57" t="n">
        <x:v>231.325</x:v>
      </x:c>
      <x:c r="BA24" s="57" t="n">
        <x:v>101.32500000000003</x:v>
      </x:c>
      <x:c r="BB24" s="57" t="n">
        <x:f>IFERROR(AZ24-BA24,"")</x:f>
        <x:v>129.99999999999994</x:v>
      </x:c>
      <x:c r="BC24" s="57" t="n">
        <x:f>IFERROR(AY24-BH24,"")</x:f>
        <x:v>130</x:v>
      </x:c>
      <x:c r="BD24" s="57" t="n">
        <x:f>IFERROR(AB24-W24,"")</x:f>
        <x:v>130</x:v>
      </x:c>
      <x:c r="BE24" s="57" t="n">
        <x:f>IFERROR(AB24-AY24,"")</x:f>
        <x:v>2.842170943040401e-14</x:v>
      </x:c>
      <x:c r="BF24" s="57" t="n">
        <x:f>IFERROR(AY24-AZ24,"")</x:f>
        <x:v>0</x:v>
      </x:c>
      <x:c r="BG24" s="57" t="n">
        <x:f>IFERROR(BA24-W24,"")</x:f>
        <x:v>0</x:v>
      </x:c>
      <x:c r="BH24" s="57" t="n">
        <x:v>101.325</x:v>
      </x:c>
      <x:c r="BI24" s="56" t="str">
        <x:v>RouteA_Focused_External240kW_VSH_PassiveCEGR_total_flow_fixed_4J_600s_20260820.mat</x:v>
      </x:c>
      <x:c r="BJ24" s="56" t="str">
        <x:v>压力：kPa abs；压差/等式偏差：kPa；流量：kg/s</x:v>
      </x:c>
      <x:c r="BK24" s="56" t="str">
        <x:v>p_stack_out=cathode outlet chamber; p_split=ideal tee; p_EGR_up/down=cEGR valve ports; p_comp_in=compressor inlet mixer; p_ambient=environment reservoir</x:v>
      </x:c>
      <x:c r="BL24" s="56" t="str"/>
      <x:c r="BM24" s="56"/>
    </x:row>
    <x:row r="25">
      <x:c r="A25" s="14" t="str">
        <x:v>总流量不变</x:v>
      </x:c>
      <x:c r="B25" s="14" t="str">
        <x:v>external240_total_flow_fixed_j1p0_R0p200</x:v>
      </x:c>
      <x:c r="C25" s="15" t="b">
        <x:v>1</x:v>
      </x:c>
      <x:c r="D25" s="15" t="b">
        <x:v>1</x:v>
      </x:c>
      <x:c r="E25" s="16" t="n">
        <x:v>1</x:v>
      </x:c>
      <x:c r="F25" s="16" t="n">
        <x:v>1.8</x:v>
      </x:c>
      <x:c r="G25" s="17" t="n">
        <x:v>0.2</x:v>
      </x:c>
      <x:c r="H25" s="17" t="n">
        <x:v>0.1999999999999987</x:v>
      </x:c>
      <x:c r="I25" s="17" t="n">
        <x:v>-1.304512053934559e-15</x:v>
      </x:c>
      <x:c r="J25" s="17" t="n">
        <x:v>0.010000000000000002</x:v>
      </x:c>
      <x:c r="K25" s="17" t="n">
        <x:v>0.16666666666666669</x:v>
      </x:c>
      <x:c r="L25" s="17" t="n">
        <x:v>0.16666666666666574</x:v>
      </x:c>
      <x:c r="M25" s="17" t="n">
        <x:v>0.16622346049132164</x:v>
      </x:c>
      <x:c r="N25" s="18" t="n">
        <x:v>0.024478894686698855</x:v>
      </x:c>
      <x:c r="O25" s="27" t="n">
        <x:f>IF(G25=0,P25,IFERROR(N25/G25,""))</x:f>
        <x:v>0.12239447343349427</x:v>
      </x:c>
      <x:c r="P25" s="27" t="n">
        <x:v>0.12278608592641305</x:v>
      </x:c>
      <x:c r="Q25" s="17" t="n">
        <x:v>1.5986295178570344</x:v>
      </x:c>
      <x:c r="R25" s="17" t="n">
        <x:v>1.598629517857033</x:v>
      </x:c>
      <x:c r="S25" s="14" t="str">
        <x:v>feasible_above_1p2</x:v>
      </x:c>
      <x:c r="T25" s="14" t="n">
        <x:v>0.704687900679561</x:v>
      </x:c>
      <x:c r="U25" s="17" t="n">
        <x:v>0.07443185755825167</x:v>
      </x:c>
      <x:c r="V25" s="17" t="n">
        <x:v>130</x:v>
      </x:c>
      <x:c r="W25" s="17" t="n">
        <x:v>101.32500000000002</x:v>
      </x:c>
      <x:c r="X25" s="17" t="n">
        <x:v>247.1614065582634</x:v>
      </x:c>
      <x:c r="Y25" s="17" t="n">
        <x:v>246.5133990451875</x:v>
      </x:c>
      <x:c r="Z25" s="17" t="n">
        <x:v>246.51339904518758</x:v>
      </x:c>
      <x:c r="AA25" s="17" t="n">
        <x:v>231.325</x:v>
      </x:c>
      <x:c r="AB25" s="17" t="n">
        <x:v>231.32500000000002</x:v>
      </x:c>
      <x:c r="AC25" s="14" t="n">
        <x:v>0.3344550905020426</x:v>
      </x:c>
      <x:c r="AD25" s="17" t="n">
        <x:v>18.563660453316242</x:v>
      </x:c>
      <x:c r="AE25" s="19" t="n">
        <x:v>30.269564886183844</x:v>
      </x:c>
      <x:c r="AF25" s="19" t="n">
        <x:v>-4.013046928039358</x:v>
      </x:c>
      <x:c r="AG25" s="17" t="n">
        <x:v>1.2542202722050673</x:v>
      </x:c>
      <x:c r="AH25" s="14" t="n">
        <x:v>7.948171031451409e-7</x:v>
      </x:c>
      <x:c r="AI25" s="14" t="n">
        <x:v>0.00004768902618870845</x:v>
      </x:c>
      <x:c r="AJ25" s="14" t="str">
        <x:v>condensing_or_supersaturated</x:v>
      </x:c>
      <x:c r="AK25" s="14" t="n">
        <x:v>1.0006396209046404</x:v>
      </x:c>
      <x:c r="AL25" s="14" t="n">
        <x:v>0.0008013453075235869</x:v>
      </x:c>
      <x:c r="AM25" s="14" t="str">
        <x:v>condensing_or_supersaturated</x:v>
      </x:c>
      <x:c r="AN25" s="14"/>
      <x:c r="AO25" s="14"/>
      <x:c r="AP25" s="14" t="str">
        <x:v>not_applicable_ideal_connection</x:v>
      </x:c>
      <x:c r="AQ25" s="14" t="str">
        <x:v>within_control_tolerance</x:v>
      </x:c>
      <x:c r="AR25" s="14" t="str">
        <x:v>not_acceptable_mixer_condensation</x:v>
      </x:c>
      <x:c r="AS25" s="14" t="str"/>
      <x:c r="AT25" s="14" t="n">
        <x:f t="shared" si="0">IFERROR(MAX(0,AG25-1)*100,"")</x:f>
        <x:v>25.422027220506727</x:v>
      </x:c>
      <x:c r="AU25" s="14" t="n">
        <x:f t="shared" si="1">IFERROR(AH25*1000000,"")</x:f>
        <x:v>0.7948171031451409</x:v>
      </x:c>
      <x:c r="AV25" s="14" t="n">
        <x:f t="shared" si="2">IFERROR(AI25*1000000,"")</x:f>
        <x:v>47.68902618870845</x:v>
      </x:c>
      <x:c r="AW25" s="14" t="n">
        <x:f t="shared" si="3">IFERROR((AB25-AA25)*1000,"")</x:f>
        <x:v>2.8421709430404007e-11</x:v>
      </x:c>
      <x:c r="AX25"/>
      <x:c r="AY25" s="57" t="n">
        <x:v>231.325</x:v>
      </x:c>
      <x:c r="AZ25" s="57" t="n">
        <x:v>231.325</x:v>
      </x:c>
      <x:c r="BA25" s="57" t="n">
        <x:v>101.32500000000002</x:v>
      </x:c>
      <x:c r="BB25" s="57" t="n">
        <x:f>IFERROR(AZ25-BA25,"")</x:f>
        <x:v>129.99999999999997</x:v>
      </x:c>
      <x:c r="BC25" s="57" t="n">
        <x:f>IFERROR(AY25-BH25,"")</x:f>
        <x:v>130</x:v>
      </x:c>
      <x:c r="BD25" s="57" t="n">
        <x:f>IFERROR(AB25-W25,"")</x:f>
        <x:v>130</x:v>
      </x:c>
      <x:c r="BE25" s="57" t="n">
        <x:f>IFERROR(AB25-AY25,"")</x:f>
        <x:v>2.842170943040401e-14</x:v>
      </x:c>
      <x:c r="BF25" s="57" t="n">
        <x:f>IFERROR(AY25-AZ25,"")</x:f>
        <x:v>0</x:v>
      </x:c>
      <x:c r="BG25" s="57" t="n">
        <x:f>IFERROR(BA25-W25,"")</x:f>
        <x:v>0</x:v>
      </x:c>
      <x:c r="BH25" s="57" t="n">
        <x:v>101.325</x:v>
      </x:c>
      <x:c r="BI25" s="56" t="str">
        <x:v>RouteA_Focused_External240kW_VSH_PassiveCEGR_total_flow_fixed_4J_600s_20260820.mat</x:v>
      </x:c>
      <x:c r="BJ25" s="56" t="str">
        <x:v>压力：kPa abs；压差/等式偏差：kPa；流量：kg/s</x:v>
      </x:c>
      <x:c r="BK25" s="56" t="str">
        <x:v>p_stack_out=cathode outlet chamber; p_split=ideal tee; p_EGR_up/down=cEGR valve ports; p_comp_in=compressor inlet mixer; p_ambient=environment reservoir</x:v>
      </x:c>
      <x:c r="BL25" s="56" t="str"/>
      <x:c r="BM25" s="56"/>
    </x:row>
    <x:row r="26">
      <x:c r="A26" s="14" t="str">
        <x:v>总流量不变</x:v>
      </x:c>
      <x:c r="B26" s="14" t="str">
        <x:v>external240_total_flow_fixed_j1p0_R0p400</x:v>
      </x:c>
      <x:c r="C26" s="15" t="b">
        <x:v>1</x:v>
      </x:c>
      <x:c r="D26" s="15" t="b">
        <x:v>1</x:v>
      </x:c>
      <x:c r="E26" s="16" t="n">
        <x:v>1</x:v>
      </x:c>
      <x:c r="F26" s="16" t="n">
        <x:v>1.8</x:v>
      </x:c>
      <x:c r="G26" s="17" t="n">
        <x:v>0.4</x:v>
      </x:c>
      <x:c r="H26" s="17" t="n">
        <x:v>0.399999999768968</x:v>
      </x:c>
      <x:c r="I26" s="17" t="n">
        <x:v>-2.3103202684282564e-10</x:v>
      </x:c>
      <x:c r="J26" s="17" t="n">
        <x:v>0.020000000000000004</x:v>
      </x:c>
      <x:c r="K26" s="17" t="n">
        <x:v>0.28571428571428575</x:v>
      </x:c>
      <x:c r="L26" s="17" t="n">
        <x:v>0.28571428559641227</x:v>
      </x:c>
      <x:c r="M26" s="17" t="n">
        <x:v>0.2855168808374133</x:v>
      </x:c>
      <x:c r="N26" s="18" t="n">
        <x:v>0.04196381883974463</x:v>
      </x:c>
      <x:c r="O26" s="27" t="n">
        <x:f>IF(G26=0,P26,IFERROR(N26/G26,""))</x:f>
        <x:v>0.10490954709936157</x:v>
      </x:c>
      <x:c r="P26" s="27" t="n">
        <x:v>0.105011094575763</x:v>
      </x:c>
      <x:c r="Q26" s="17" t="n">
        <x:v>1.3988513712944404</x:v>
      </x:c>
      <x:c r="R26" s="17" t="n">
        <x:v>1.3988512896726617</x:v>
      </x:c>
      <x:c r="S26" s="14" t="str">
        <x:v>feasible_above_1p2</x:v>
      </x:c>
      <x:c r="T26" s="14" t="n">
        <x:v>0.6996365605013138</x:v>
      </x:c>
      <x:c r="U26" s="17" t="n">
        <x:v>0.12956982144827442</x:v>
      </x:c>
      <x:c r="V26" s="17" t="n">
        <x:v>129.9999996196174</x:v>
      </x:c>
      <x:c r="W26" s="17" t="n">
        <x:v>101.32500000000002</x:v>
      </x:c>
      <x:c r="X26" s="17" t="n">
        <x:v>247.12243289858796</x:v>
      </x:c>
      <x:c r="Y26" s="17" t="n">
        <x:v>246.4744253857205</x:v>
      </x:c>
      <x:c r="Z26" s="17" t="n">
        <x:v>246.47442538572054</x:v>
      </x:c>
      <x:c r="AA26" s="17" t="n">
        <x:v>231.325</x:v>
      </x:c>
      <x:c r="AB26" s="17" t="n">
        <x:v>231.32499961961742</x:v>
      </x:c>
      <x:c r="AC26" s="14" t="n">
        <x:v>0.5806600145361676</x:v>
      </x:c>
      <x:c r="AD26" s="17" t="n">
        <x:v>15.958292165448514</x:v>
      </x:c>
      <x:c r="AE26" s="19" t="n">
        <x:v>39.81301916006424</x:v>
      </x:c>
      <x:c r="AF26" s="19" t="n">
        <x:v>-4.776160974325663</x:v>
      </x:c>
      <x:c r="AG26" s="17" t="n">
        <x:v>1.2849026980062848</x:v>
      </x:c>
      <x:c r="AH26" s="14" t="n">
        <x:v>0.0000014805920089234483</x:v>
      </x:c>
      <x:c r="AI26" s="14" t="n">
        <x:v>0.0000888355205354069</x:v>
      </x:c>
      <x:c r="AJ26" s="14" t="str">
        <x:v>condensing_or_supersaturated</x:v>
      </x:c>
      <x:c r="AK26" s="14" t="n">
        <x:v>1.0006426501992116</x:v>
      </x:c>
      <x:c r="AL26" s="14" t="n">
        <x:v>0.0010968339679327472</x:v>
      </x:c>
      <x:c r="AM26" s="14" t="str">
        <x:v>condensing_or_supersaturated</x:v>
      </x:c>
      <x:c r="AN26" s="14"/>
      <x:c r="AO26" s="14"/>
      <x:c r="AP26" s="14" t="str">
        <x:v>not_applicable_ideal_connection</x:v>
      </x:c>
      <x:c r="AQ26" s="14" t="str">
        <x:v>within_control_tolerance</x:v>
      </x:c>
      <x:c r="AR26" s="14" t="str">
        <x:v>not_acceptable_mixer_condensation</x:v>
      </x:c>
      <x:c r="AS26" s="14" t="str"/>
      <x:c r="AT26" s="14" t="n">
        <x:f t="shared" si="0">IFERROR(MAX(0,AG26-1)*100,"")</x:f>
        <x:v>28.490269800628475</x:v>
      </x:c>
      <x:c r="AU26" s="14" t="n">
        <x:f t="shared" si="1">IFERROR(AH26*1000000,"")</x:f>
        <x:v>1.4805920089234483</x:v>
      </x:c>
      <x:c r="AV26" s="14" t="n">
        <x:f t="shared" si="2">IFERROR(AI26*1000000,"")</x:f>
        <x:v>88.8355205354069</x:v>
      </x:c>
      <x:c r="AW26" s="14" t="n">
        <x:f t="shared" si="3">IFERROR((AB26-AA26)*1000,"")</x:f>
        <x:v>-0.0003803825734394195</x:v>
      </x:c>
      <x:c r="AX26"/>
      <x:c r="AY26" s="57" t="n">
        <x:v>231.32499961961736</x:v>
      </x:c>
      <x:c r="AZ26" s="57" t="n">
        <x:v>231.32499961961736</x:v>
      </x:c>
      <x:c r="BA26" s="57" t="n">
        <x:v>101.32500000000002</x:v>
      </x:c>
      <x:c r="BB26" s="57" t="n">
        <x:f>IFERROR(AZ26-BA26,"")</x:f>
        <x:v>129.99999961961734</x:v>
      </x:c>
      <x:c r="BC26" s="57" t="n">
        <x:f>IFERROR(AY26-BH26,"")</x:f>
        <x:v>129.99999961961737</x:v>
      </x:c>
      <x:c r="BD26" s="57" t="n">
        <x:f>IFERROR(AB26-W26,"")</x:f>
        <x:v>129.9999996196174</x:v>
      </x:c>
      <x:c r="BE26" s="57" t="n">
        <x:f>IFERROR(AB26-AY26,"")</x:f>
        <x:v>5.684341886080802e-14</x:v>
      </x:c>
      <x:c r="BF26" s="57" t="n">
        <x:f>IFERROR(AY26-AZ26,"")</x:f>
        <x:v>0</x:v>
      </x:c>
      <x:c r="BG26" s="57" t="n">
        <x:f>IFERROR(BA26-W26,"")</x:f>
        <x:v>0</x:v>
      </x:c>
      <x:c r="BH26" s="57" t="n">
        <x:v>101.325</x:v>
      </x:c>
      <x:c r="BI26" s="56" t="str">
        <x:v>RouteA_Focused_External240kW_VSH_PassiveCEGR_total_flow_fixed_4J_600s_20260820.mat</x:v>
      </x:c>
      <x:c r="BJ26" s="56" t="str">
        <x:v>压力：kPa abs；压差/等式偏差：kPa；流量：kg/s</x:v>
      </x:c>
      <x:c r="BK26" s="56" t="str">
        <x:v>p_stack_out=cathode outlet chamber; p_split=ideal tee; p_EGR_up/down=cEGR valve ports; p_comp_in=compressor inlet mixer; p_ambient=environment reservoir</x:v>
      </x:c>
      <x:c r="BL26" s="56" t="str"/>
      <x:c r="BM26" s="56"/>
    </x:row>
    <x:row r="27">
      <x:c r="A27" s="14" t="str">
        <x:v>总流量不变</x:v>
      </x:c>
      <x:c r="B27" s="14" t="str">
        <x:v>external240_total_flow_fixed_j1p0_R0p600</x:v>
      </x:c>
      <x:c r="C27" s="15" t="b">
        <x:v>1</x:v>
      </x:c>
      <x:c r="D27" s="15" t="b">
        <x:v>1</x:v>
      </x:c>
      <x:c r="E27" s="16" t="n">
        <x:v>1</x:v>
      </x:c>
      <x:c r="F27" s="16" t="n">
        <x:v>1.8</x:v>
      </x:c>
      <x:c r="G27" s="17" t="n">
        <x:v>0.6000000000000001</x:v>
      </x:c>
      <x:c r="H27" s="17" t="n">
        <x:v>0.5999999999999761</x:v>
      </x:c>
      <x:c r="I27" s="17" t="n">
        <x:v>-2.398081733190338e-14</x:v>
      </x:c>
      <x:c r="J27" s="17" t="n">
        <x:v>0.030000000000000006</x:v>
      </x:c>
      <x:c r="K27" s="17" t="n">
        <x:v>0.37500000000000006</x:v>
      </x:c>
      <x:c r="L27" s="17" t="n">
        <x:v>0.3749999999999906</x:v>
      </x:c>
      <x:c r="M27" s="17" t="n">
        <x:v>0.3754193501960643</x:v>
      </x:c>
      <x:c r="N27" s="18" t="n">
        <x:v>0.05507751304507159</x:v>
      </x:c>
      <x:c r="O27" s="27" t="n">
        <x:f>IF(G27=0,P27,IFERROR(N27/G27,""))</x:f>
        <x:v>0.0917958550751193</x:v>
      </x:c>
      <x:c r="P27" s="27" t="n">
        <x:v>0.09163179486968327</x:v>
      </x:c>
      <x:c r="Q27" s="17" t="n">
        <x:v>1.1991004735211255</x:v>
      </x:c>
      <x:c r="R27" s="17" t="n">
        <x:v>1.1991004735211026</x:v>
      </x:c>
      <x:c r="S27" s="14" t="str">
        <x:v>risk_1_to_1p2</x:v>
      </x:c>
      <x:c r="T27" s="14" t="n">
        <x:v>0.6926601587366445</x:v>
      </x:c>
      <x:c r="U27" s="17" t="n">
        <x:v>0.1723988746673579</x:v>
      </x:c>
      <x:c r="V27" s="17" t="n">
        <x:v>129.9999999999999</x:v>
      </x:c>
      <x:c r="W27" s="17" t="n">
        <x:v>101.32500000000003</x:v>
      </x:c>
      <x:c r="X27" s="17" t="n">
        <x:v>247.08678896110078</x:v>
      </x:c>
      <x:c r="Y27" s="17" t="n">
        <x:v>246.43878144802483</x:v>
      </x:c>
      <x:c r="Z27" s="17" t="n">
        <x:v>246.43878144802494</x:v>
      </x:c>
      <x:c r="AA27" s="17" t="n">
        <x:v>231.325</x:v>
      </x:c>
      <x:c r="AB27" s="17" t="n">
        <x:v>231.32499999999996</x:v>
      </x:c>
      <x:c r="AC27" s="14" t="n">
        <x:v>0.8133717151208263</x:v>
      </x:c>
      <x:c r="AD27" s="17" t="n">
        <x:v>13.447199436889816</x:v>
      </x:c>
      <x:c r="AE27" s="19" t="n">
        <x:v>47.59002724369071</x:v>
      </x:c>
      <x:c r="AF27" s="19" t="n">
        <x:v>-3.6969015228671793</x:v>
      </x:c>
      <x:c r="AG27" s="17" t="n">
        <x:v>1.202307421950619</x:v>
      </x:c>
      <x:c r="AH27" s="14" t="n">
        <x:v>0.0000015650342151736155</x:v>
      </x:c>
      <x:c r="AI27" s="14" t="n">
        <x:v>0.00009390205291041693</x:v>
      </x:c>
      <x:c r="AJ27" s="14" t="str">
        <x:v>condensing_or_supersaturated</x:v>
      </x:c>
      <x:c r="AK27" s="14" t="n">
        <x:v>1.0007200029196939</x:v>
      </x:c>
      <x:c r="AL27" s="14" t="n">
        <x:v>0.0013672197166074984</x:v>
      </x:c>
      <x:c r="AM27" s="14" t="str">
        <x:v>condensing_or_supersaturated</x:v>
      </x:c>
      <x:c r="AN27" s="14"/>
      <x:c r="AO27" s="14"/>
      <x:c r="AP27" s="14" t="str">
        <x:v>not_applicable_ideal_connection</x:v>
      </x:c>
      <x:c r="AQ27" s="14" t="str">
        <x:v>within_control_tolerance</x:v>
      </x:c>
      <x:c r="AR27" s="14" t="str">
        <x:v>not_acceptable_mixer_condensation</x:v>
      </x:c>
      <x:c r="AS27" s="14" t="str"/>
      <x:c r="AT27" s="14" t="n">
        <x:f t="shared" si="0">IFERROR(MAX(0,AG27-1)*100,"")</x:f>
        <x:v>20.23074219506189</x:v>
      </x:c>
      <x:c r="AU27" s="14" t="n">
        <x:f t="shared" si="1">IFERROR(AH27*1000000,"")</x:f>
        <x:v>1.5650342151736154</x:v>
      </x:c>
      <x:c r="AV27" s="14" t="n">
        <x:f t="shared" si="2">IFERROR(AI27*1000000,"")</x:f>
        <x:v>93.90205291041693</x:v>
      </x:c>
      <x:c r="AW27" s="14" t="n">
        <x:f t="shared" si="3">IFERROR((AB27-AA27)*1000,"")</x:f>
        <x:v>-2.8421709430404007e-11</x:v>
      </x:c>
      <x:c r="AX27"/>
      <x:c r="AY27" s="57" t="n">
        <x:v>231.3249999999999</x:v>
      </x:c>
      <x:c r="AZ27" s="57" t="n">
        <x:v>231.3249999999999</x:v>
      </x:c>
      <x:c r="BA27" s="57" t="n">
        <x:v>101.32500000000003</x:v>
      </x:c>
      <x:c r="BB27" s="57" t="n">
        <x:f>IFERROR(AZ27-BA27,"")</x:f>
        <x:v>129.9999999999999</x:v>
      </x:c>
      <x:c r="BC27" s="57" t="n">
        <x:f>IFERROR(AY27-BH27,"")</x:f>
        <x:v>129.9999999999999</x:v>
      </x:c>
      <x:c r="BD27" s="57" t="n">
        <x:f>IFERROR(AB27-W27,"")</x:f>
        <x:v>129.99999999999994</x:v>
      </x:c>
      <x:c r="BE27" s="57" t="n">
        <x:f>IFERROR(AB27-AY27,"")</x:f>
        <x:v>5.684341886080802e-14</x:v>
      </x:c>
      <x:c r="BF27" s="57" t="n">
        <x:f>IFERROR(AY27-AZ27,"")</x:f>
        <x:v>0</x:v>
      </x:c>
      <x:c r="BG27" s="57" t="n">
        <x:f>IFERROR(BA27-W27,"")</x:f>
        <x:v>0</x:v>
      </x:c>
      <x:c r="BH27" s="57" t="n">
        <x:v>101.325</x:v>
      </x:c>
      <x:c r="BI27" s="56" t="str">
        <x:v>RouteA_Focused_External240kW_VSH_PassiveCEGR_total_flow_fixed_4J_600s_20260820.mat</x:v>
      </x:c>
      <x:c r="BJ27" s="56" t="str">
        <x:v>压力：kPa abs；压差/等式偏差：kPa；流量：kg/s</x:v>
      </x:c>
      <x:c r="BK27" s="56" t="str">
        <x:v>p_stack_out=cathode outlet chamber; p_split=ideal tee; p_EGR_up/down=cEGR valve ports; p_comp_in=compressor inlet mixer; p_ambient=environment reservoir</x:v>
      </x:c>
      <x:c r="BL27" s="56" t="str"/>
      <x:c r="BM27" s="56"/>
    </x:row>
    <x:row r="28">
      <x:c r="A28" s="14" t="str">
        <x:v>总流量不变</x:v>
      </x:c>
      <x:c r="B28" s="14" t="str">
        <x:v>external240_total_flow_fixed_j1p0_R0p800</x:v>
      </x:c>
      <x:c r="C28" s="15" t="b">
        <x:v>1</x:v>
      </x:c>
      <x:c r="D28" s="15" t="b">
        <x:v>1</x:v>
      </x:c>
      <x:c r="E28" s="16" t="n">
        <x:v>1</x:v>
      </x:c>
      <x:c r="F28" s="16" t="n">
        <x:v>1.8</x:v>
      </x:c>
      <x:c r="G28" s="17" t="n">
        <x:v>0.8</x:v>
      </x:c>
      <x:c r="H28" s="17" t="n">
        <x:v>0.7999999977374233</x:v>
      </x:c>
      <x:c r="I28" s="17" t="n">
        <x:v>-2.2625767925887885e-9</x:v>
      </x:c>
      <x:c r="J28" s="17" t="n">
        <x:v>0.04000000000000001</x:v>
      </x:c>
      <x:c r="K28" s="17" t="n">
        <x:v>0.4444444444444445</x:v>
      </x:c>
      <x:c r="L28" s="17" t="n">
        <x:v>0.44444444374611847</x:v>
      </x:c>
      <x:c r="M28" s="17" t="n">
        <x:v>0.4455318051291454</x:v>
      </x:c>
      <x:c r="N28" s="18" t="n">
        <x:v>0.06527705248592904</x:v>
      </x:c>
      <x:c r="O28" s="27" t="n">
        <x:f>IF(G28=0,P28,IFERROR(N28/G28,""))</x:f>
        <x:v>0.08159631560741129</x:v>
      </x:c>
      <x:c r="P28" s="27" t="n">
        <x:v>0.0812378578626314</x:v>
      </x:c>
      <x:c r="Q28" s="17" t="n">
        <x:v>1.0095827203020187</x:v>
      </x:c>
      <x:c r="R28" s="17" t="n">
        <x:v>1.0095825839548933</x:v>
      </x:c>
      <x:c r="S28" s="14" t="str">
        <x:v>risk_1_to_1p2</x:v>
      </x:c>
      <x:c r="T28" s="14" t="n">
        <x:v>0.6684365937685549</x:v>
      </x:c>
      <x:c r="U28" s="17" t="n">
        <x:v>0.20642246361714955</x:v>
      </x:c>
      <x:c r="V28" s="17" t="n">
        <x:v>130.00000023864698</x:v>
      </x:c>
      <x:c r="W28" s="17" t="n">
        <x:v>101.32500000000002</x:v>
      </x:c>
      <x:c r="X28" s="17" t="n">
        <x:v>247.06072652416947</x:v>
      </x:c>
      <x:c r="Y28" s="17" t="n">
        <x:v>246.41271901007508</x:v>
      </x:c>
      <x:c r="Z28" s="17" t="n">
        <x:v>246.41271901007514</x:v>
      </x:c>
      <x:c r="AA28" s="17" t="n">
        <x:v>231.325</x:v>
      </x:c>
      <x:c r="AB28" s="17" t="n">
        <x:v>231.325000238647</x:v>
      </x:c>
      <x:c r="AC28" s="14" t="n">
        <x:v>0.9851259735406738</x:v>
      </x:c>
      <x:c r="AD28" s="17" t="n">
        <x:v>11.116227700270526</x:v>
      </x:c>
      <x:c r="AE28" s="19" t="n">
        <x:v>53.63763557417457</x:v>
      </x:c>
      <x:c r="AF28" s="19" t="n">
        <x:v>-2.1426241788362717</x:v>
      </x:c>
      <x:c r="AG28" s="17" t="n">
        <x:v>1.1083740585650734</x:v>
      </x:c>
      <x:c r="AH28" s="14" t="n">
        <x:v>0.0000011278732670877337</x:v>
      </x:c>
      <x:c r="AI28" s="14" t="n">
        <x:v>0.00006767239602526403</x:v>
      </x:c>
      <x:c r="AJ28" s="14" t="str">
        <x:v>condensing_or_supersaturated</x:v>
      </x:c>
      <x:c r="AK28" s="14" t="n">
        <x:v>1.0008382428009404</x:v>
      </x:c>
      <x:c r="AL28" s="14" t="n">
        <x:v>0.0015626002862806972</x:v>
      </x:c>
      <x:c r="AM28" s="14" t="str">
        <x:v>condensing_or_supersaturated</x:v>
      </x:c>
      <x:c r="AN28" s="14"/>
      <x:c r="AO28" s="14"/>
      <x:c r="AP28" s="14" t="str">
        <x:v>not_applicable_ideal_connection</x:v>
      </x:c>
      <x:c r="AQ28" s="14" t="str">
        <x:v>within_control_tolerance</x:v>
      </x:c>
      <x:c r="AR28" s="14" t="str">
        <x:v>not_acceptable_mixer_condensation</x:v>
      </x:c>
      <x:c r="AS28" s="14" t="str"/>
      <x:c r="AT28" s="14" t="n">
        <x:f t="shared" si="0">IFERROR(MAX(0,AG28-1)*100,"")</x:f>
        <x:v>10.837405856507342</x:v>
      </x:c>
      <x:c r="AU28" s="14" t="n">
        <x:f t="shared" si="1">IFERROR(AH28*1000000,"")</x:f>
        <x:v>1.1278732670877336</x:v>
      </x:c>
      <x:c r="AV28" s="14" t="n">
        <x:f t="shared" si="2">IFERROR(AI28*1000000,"")</x:f>
        <x:v>67.67239602526402</x:v>
      </x:c>
      <x:c r="AW28" s="14" t="n">
        <x:f t="shared" si="3">IFERROR((AB28-AA28)*1000,"")</x:f>
        <x:v>0.00023864700438025466</x:v>
      </x:c>
      <x:c r="AX28"/>
      <x:c r="AY28" s="57" t="n">
        <x:v>231.3250002386469</x:v>
      </x:c>
      <x:c r="AZ28" s="57" t="n">
        <x:v>231.3250002386469</x:v>
      </x:c>
      <x:c r="BA28" s="57" t="n">
        <x:v>101.32500000000002</x:v>
      </x:c>
      <x:c r="BB28" s="57" t="n">
        <x:f>IFERROR(AZ28-BA28,"")</x:f>
        <x:v>130.0000002386469</x:v>
      </x:c>
      <x:c r="BC28" s="57" t="n">
        <x:f>IFERROR(AY28-BH28,"")</x:f>
        <x:v>130.00000023864692</x:v>
      </x:c>
      <x:c r="BD28" s="57" t="n">
        <x:f>IFERROR(AB28-W28,"")</x:f>
        <x:v>130.00000023864698</x:v>
      </x:c>
      <x:c r="BE28" s="57" t="n">
        <x:f>IFERROR(AB28-AY28,"")</x:f>
        <x:v>8.526512829121202e-14</x:v>
      </x:c>
      <x:c r="BF28" s="57" t="n">
        <x:f>IFERROR(AY28-AZ28,"")</x:f>
        <x:v>0</x:v>
      </x:c>
      <x:c r="BG28" s="57" t="n">
        <x:f>IFERROR(BA28-W28,"")</x:f>
        <x:v>0</x:v>
      </x:c>
      <x:c r="BH28" s="57" t="n">
        <x:v>101.325</x:v>
      </x:c>
      <x:c r="BI28" s="56" t="str">
        <x:v>RouteA_Focused_External240kW_VSH_PassiveCEGR_total_flow_fixed_4J_600s_20260820.mat</x:v>
      </x:c>
      <x:c r="BJ28" s="56" t="str">
        <x:v>压力：kPa abs；压差/等式偏差：kPa；流量：kg/s</x:v>
      </x:c>
      <x:c r="BK28" s="56" t="str">
        <x:v>p_stack_out=cathode outlet chamber; p_split=ideal tee; p_EGR_up/down=cEGR valve ports; p_comp_in=compressor inlet mixer; p_ambient=environment reservoir</x:v>
      </x:c>
      <x:c r="BL28" s="56" t="str"/>
      <x:c r="BM28" s="56"/>
    </x:row>
    <x:row r="29">
      <x:c r="A29" s="14" t="str">
        <x:v>新鲜空气不变</x:v>
      </x:c>
      <x:c r="B29" s="14" t="str">
        <x:v>external240_fresh_air_fixed_j0p1_R0p000</x:v>
      </x:c>
      <x:c r="C29" s="15" t="b">
        <x:v>1</x:v>
      </x:c>
      <x:c r="D29" s="15" t="b">
        <x:v>1</x:v>
      </x:c>
      <x:c r="E29" s="16" t="n">
        <x:v>0.1</x:v>
      </x:c>
      <x:c r="F29" s="16" t="n">
        <x:v>5</x:v>
      </x:c>
      <x:c r="G29" s="17" t="n">
        <x:v>0</x:v>
      </x:c>
      <x:c r="H29" s="17" t="n">
        <x:v>4.857955323032437e-7</x:v>
      </x:c>
      <x:c r="I29" s="17" t="n">
        <x:v>4.857955323032437e-7</x:v>
      </x:c>
      <x:c r="J29" s="17" t="n">
        <x:v>0.005</x:v>
      </x:c>
      <x:c r="K29" s="17" t="n">
        <x:v>0</x:v>
      </x:c>
      <x:c r="L29" s="17" t="n">
        <x:v>4.857952963060591e-7</x:v>
      </x:c>
      <x:c r="M29" s="17" t="n">
        <x:v>4.920789000010642e-7</x:v>
      </x:c>
      <x:c r="N29" s="18" t="n">
        <x:v>1.9819562790866647e-8</x:v>
      </x:c>
      <x:c r="O29" s="27" t="n">
        <x:f>IF(G29=0,P29,IFERROR(N29/G29,""))</x:f>
        <x:v>0.04027718530104649</x:v>
      </x:c>
      <x:c r="P29" s="27" t="n">
        <x:v>0.04027718530104649</x:v>
      </x:c>
      <x:c r="Q29" s="17" t="n">
        <x:v>4.997032597099059</x:v>
      </x:c>
      <x:c r="R29" s="17" t="n">
        <x:v>4.997032597099057</x:v>
      </x:c>
      <x:c r="S29" s="14" t="str">
        <x:v>feasible_above_1p2</x:v>
      </x:c>
      <x:c r="T29" s="14" t="n">
        <x:v>0.7991668695268606</x:v>
      </x:c>
      <x:c r="U29" s="17" t="n">
        <x:v>9.999999999999997e-8</x:v>
      </x:c>
      <x:c r="V29" s="17" t="n">
        <x:v>40.00000000000002</x:v>
      </x:c>
      <x:c r="W29" s="17" t="n">
        <x:v>101.32500000000003</x:v>
      </x:c>
      <x:c r="X29" s="17" t="n">
        <x:v>144.8977912523285</x:v>
      </x:c>
      <x:c r="Y29" s="17" t="n">
        <x:v>144.84778831699924</x:v>
      </x:c>
      <x:c r="Z29" s="17" t="n">
        <x:v>144.84778831699927</x:v>
      </x:c>
      <x:c r="AA29" s="17" t="n">
        <x:v>141.32500000000002</x:v>
      </x:c>
      <x:c r="AB29" s="17" t="n">
        <x:v>141.32500000000005</x:v>
      </x:c>
      <x:c r="AC29" s="14" t="n">
        <x:v>0.08344488484967107</x:v>
      </x:c>
      <x:c r="AD29" s="17" t="n">
        <x:v>21.27817724335388</x:v>
      </x:c>
      <x:c r="AE29" s="19" t="n">
        <x:v>19.856929472458376</x:v>
      </x:c>
      <x:c r="AF29" s="19" t="n">
        <x:v>10.584699603360612</x:v>
      </x:c>
      <x:c r="AG29" s="17" t="n">
        <x:v>0.5044960775501577</x:v>
      </x:c>
      <x:c r="AH29" s="14" t="n">
        <x:v>0</x:v>
      </x:c>
      <x:c r="AI29" s="14" t="n">
        <x:v>0</x:v>
      </x:c>
      <x:c r="AJ29" s="14" t="str">
        <x:v>gas_phase_noncondensing</x:v>
      </x:c>
      <x:c r="AK29" s="14" t="n">
        <x:v>0.5193737918402125</x:v>
      </x:c>
      <x:c r="AL29" s="14" t="n">
        <x:v>0</x:v>
      </x:c>
      <x:c r="AM29" s="14" t="str">
        <x:v>gas_phase_noncondensing</x:v>
      </x:c>
      <x:c r="AN29" s="14"/>
      <x:c r="AO29" s="14"/>
      <x:c r="AP29" s="14" t="str">
        <x:v>not_applicable_ideal_connection</x:v>
      </x:c>
      <x:c r="AQ29" s="14" t="str">
        <x:v>not_applicable_zero_target</x:v>
      </x:c>
      <x:c r="AR29" s="14" t="str">
        <x:v>candidate_feasible_gas_phase_screen</x:v>
      </x:c>
      <x:c r="AS29" s="14" t="str"/>
      <x:c r="AT29" s="14" t="n">
        <x:f t="shared" si="0">IFERROR(MAX(0,AG29-1)*100,"")</x:f>
        <x:v>0</x:v>
      </x:c>
      <x:c r="AU29" s="14" t="n">
        <x:f t="shared" si="1">IFERROR(AH29*1000000,"")</x:f>
        <x:v>0</x:v>
      </x:c>
      <x:c r="AV29" s="14" t="n">
        <x:f t="shared" si="2">IFERROR(AI29*1000000,"")</x:f>
        <x:v>0</x:v>
      </x:c>
      <x:c r="AW29" s="14" t="n">
        <x:f t="shared" si="3">IFERROR((AB29-AA29)*1000,"")</x:f>
        <x:v>2.8421709430404007e-11</x:v>
      </x:c>
      <x:c r="AX29"/>
      <x:c r="AY29" s="57" t="n">
        <x:v>141.32500000000005</x:v>
      </x:c>
      <x:c r="AZ29" s="57" t="n">
        <x:v>141.32500000000005</x:v>
      </x:c>
      <x:c r="BA29" s="57" t="n">
        <x:v>101.32500000000003</x:v>
      </x:c>
      <x:c r="BB29" s="57" t="n">
        <x:f>IFERROR(AZ29-BA29,"")</x:f>
        <x:v>40.000000000000014</x:v>
      </x:c>
      <x:c r="BC29" s="57" t="n">
        <x:f>IFERROR(AY29-BH29,"")</x:f>
        <x:v>40.00000000000004</x:v>
      </x:c>
      <x:c r="BD29" s="57" t="n">
        <x:f>IFERROR(AB29-W29,"")</x:f>
        <x:v>40.000000000000014</x:v>
      </x:c>
      <x:c r="BE29" s="57" t="n">
        <x:f>IFERROR(AB29-AY29,"")</x:f>
        <x:v>0</x:v>
      </x:c>
      <x:c r="BF29" s="57" t="n">
        <x:f>IFERROR(AY29-AZ29,"")</x:f>
        <x:v>0</x:v>
      </x:c>
      <x:c r="BG29" s="57" t="n">
        <x:f>IFERROR(BA29-W29,"")</x:f>
        <x:v>0</x:v>
      </x:c>
      <x:c r="BH29" s="57" t="n">
        <x:v>101.325</x:v>
      </x:c>
      <x:c r="BI29" s="56" t="str">
        <x:v>RouteA_Focused_External240kW_VSH_PassiveCEGR_fresh_air_fixed_4J_600s_20260820.mat</x:v>
      </x:c>
      <x:c r="BJ29" s="56" t="str">
        <x:v>压力：kPa abs；压差/等式偏差：kPa；流量：kg/s</x:v>
      </x:c>
      <x:c r="BK29" s="56" t="str">
        <x:v>p_stack_out=cathode outlet chamber; p_split=ideal tee; p_EGR_up/down=cEGR valve ports; p_comp_in=compressor inlet mixer; p_ambient=environment reservoir</x:v>
      </x:c>
      <x:c r="BL29" s="56" t="str"/>
      <x:c r="BM29" s="56"/>
    </x:row>
    <x:row r="30">
      <x:c r="A30" s="14" t="str">
        <x:v>新鲜空气不变</x:v>
      </x:c>
      <x:c r="B30" s="14" t="str">
        <x:v>external240_fresh_air_fixed_j0p1_R0p100</x:v>
      </x:c>
      <x:c r="C30" s="15" t="b">
        <x:v>1</x:v>
      </x:c>
      <x:c r="D30" s="15" t="b">
        <x:v>1</x:v>
      </x:c>
      <x:c r="E30" s="16" t="n">
        <x:v>0.1</x:v>
      </x:c>
      <x:c r="F30" s="16" t="n">
        <x:v>5</x:v>
      </x:c>
      <x:c r="G30" s="17" t="n">
        <x:v>0.1</x:v>
      </x:c>
      <x:c r="H30" s="17" t="n">
        <x:v>0.09999999999999999</x:v>
      </x:c>
      <x:c r="I30" s="17" t="n">
        <x:v>-1.3877787807814457e-17</x:v>
      </x:c>
      <x:c r="J30" s="17" t="n">
        <x:v>0.005000000000000001</x:v>
      </x:c>
      <x:c r="K30" s="17" t="n">
        <x:v>0.09090909090909091</x:v>
      </x:c>
      <x:c r="L30" s="17" t="n">
        <x:v>0.0909090909090909</x:v>
      </x:c>
      <x:c r="M30" s="17" t="n">
        <x:v>0.09198188338455854</x:v>
      </x:c>
      <x:c r="N30" s="18" t="n">
        <x:v>0.0040798157811165</x:v>
      </x:c>
      <x:c r="O30" s="27" t="n">
        <x:f>IF(G30=0,P30,IFERROR(N30/G30,""))</x:f>
        <x:v>0.040798157811165</x:v>
      </x:c>
      <x:c r="P30" s="27" t="n">
        <x:v>0.040274742214391986</x:v>
      </x:c>
      <x:c r="Q30" s="17" t="n">
        <x:v>5.40194415723721</x:v>
      </x:c>
      <x:c r="R30" s="17" t="n">
        <x:v>5.401944157237209</x:v>
      </x:c>
      <x:c r="S30" s="14" t="str">
        <x:v>feasible_above_1p2</x:v>
      </x:c>
      <x:c r="T30" s="14" t="n">
        <x:v>0.7991873358138188</x:v>
      </x:c>
      <x:c r="U30" s="17" t="n">
        <x:v>0.02101687861005849</x:v>
      </x:c>
      <x:c r="V30" s="17" t="n">
        <x:v>40.000000000000014</x:v>
      </x:c>
      <x:c r="W30" s="17" t="n">
        <x:v>101.32500000000002</x:v>
      </x:c>
      <x:c r="X30" s="17" t="n">
        <x:v>145.27791601908285</x:v>
      </x:c>
      <x:c r="Y30" s="17" t="n">
        <x:v>145.21741305109217</x:v>
      </x:c>
      <x:c r="Z30" s="17" t="n">
        <x:v>145.21741305109222</x:v>
      </x:c>
      <x:c r="AA30" s="17" t="n">
        <x:v>141.32500000000002</x:v>
      </x:c>
      <x:c r="AB30" s="17" t="n">
        <x:v>141.32500000000007</x:v>
      </x:c>
      <x:c r="AC30" s="14" t="n">
        <x:v>0.12484117507982308</x:v>
      </x:c>
      <x:c r="AD30" s="17" t="n">
        <x:v>20.85778390843781</x:v>
      </x:c>
      <x:c r="AE30" s="19" t="n">
        <x:v>23.615935392545964</x:v>
      </x:c>
      <x:c r="AF30" s="19" t="n">
        <x:v>8.244801340461557</x:v>
      </x:c>
      <x:c r="AG30" s="17" t="n">
        <x:v>0.5988202920210205</x:v>
      </x:c>
      <x:c r="AH30" s="14" t="n">
        <x:v>0</x:v>
      </x:c>
      <x:c r="AI30" s="14" t="n">
        <x:v>0</x:v>
      </x:c>
      <x:c r="AJ30" s="14" t="str">
        <x:v>gas_phase_noncondensing</x:v>
      </x:c>
      <x:c r="AK30" s="14" t="n">
        <x:v>0.5203376781637948</x:v>
      </x:c>
      <x:c r="AL30" s="14" t="n">
        <x:v>0</x:v>
      </x:c>
      <x:c r="AM30" s="14" t="str">
        <x:v>gas_phase_noncondensing</x:v>
      </x:c>
      <x:c r="AN30" s="14"/>
      <x:c r="AO30" s="14"/>
      <x:c r="AP30" s="14" t="str">
        <x:v>not_applicable_ideal_connection</x:v>
      </x:c>
      <x:c r="AQ30" s="14" t="str">
        <x:v>within_control_tolerance</x:v>
      </x:c>
      <x:c r="AR30" s="14" t="str">
        <x:v>candidate_feasible_gas_phase_screen</x:v>
      </x:c>
      <x:c r="AS30" s="14" t="str"/>
      <x:c r="AT30" s="14" t="n">
        <x:f t="shared" si="0">IFERROR(MAX(0,AG30-1)*100,"")</x:f>
        <x:v>0</x:v>
      </x:c>
      <x:c r="AU30" s="14" t="n">
        <x:f t="shared" si="1">IFERROR(AH30*1000000,"")</x:f>
        <x:v>0</x:v>
      </x:c>
      <x:c r="AV30" s="14" t="n">
        <x:f t="shared" si="2">IFERROR(AI30*1000000,"")</x:f>
        <x:v>0</x:v>
      </x:c>
      <x:c r="AW30" s="14" t="n">
        <x:f t="shared" si="3">IFERROR((AB30-AA30)*1000,"")</x:f>
        <x:v>5.6843418860808015e-11</x:v>
      </x:c>
      <x:c r="AX30"/>
      <x:c r="AY30" s="57" t="n">
        <x:v>141.32500000000002</x:v>
      </x:c>
      <x:c r="AZ30" s="57" t="n">
        <x:v>141.32500000000002</x:v>
      </x:c>
      <x:c r="BA30" s="57" t="n">
        <x:v>101.32500000000002</x:v>
      </x:c>
      <x:c r="BB30" s="57" t="n">
        <x:f>IFERROR(AZ30-BA30,"")</x:f>
        <x:v>40</x:v>
      </x:c>
      <x:c r="BC30" s="57" t="n">
        <x:f>IFERROR(AY30-BH30,"")</x:f>
        <x:v>40.000000000000014</x:v>
      </x:c>
      <x:c r="BD30" s="57" t="n">
        <x:f>IFERROR(AB30-W30,"")</x:f>
        <x:v>40.00000000000006</x:v>
      </x:c>
      <x:c r="BE30" s="57" t="n">
        <x:f>IFERROR(AB30-AY30,"")</x:f>
        <x:v>5.684341886080802e-14</x:v>
      </x:c>
      <x:c r="BF30" s="57" t="n">
        <x:f>IFERROR(AY30-AZ30,"")</x:f>
        <x:v>0</x:v>
      </x:c>
      <x:c r="BG30" s="57" t="n">
        <x:f>IFERROR(BA30-W30,"")</x:f>
        <x:v>0</x:v>
      </x:c>
      <x:c r="BH30" s="57" t="n">
        <x:v>101.325</x:v>
      </x:c>
      <x:c r="BI30" s="56" t="str">
        <x:v>RouteA_Focused_External240kW_VSH_PassiveCEGR_fresh_air_fixed_4J_600s_20260820.mat</x:v>
      </x:c>
      <x:c r="BJ30" s="56" t="str">
        <x:v>压力：kPa abs；压差/等式偏差：kPa；流量：kg/s</x:v>
      </x:c>
      <x:c r="BK30" s="56" t="str">
        <x:v>p_stack_out=cathode outlet chamber; p_split=ideal tee; p_EGR_up/down=cEGR valve ports; p_comp_in=compressor inlet mixer; p_ambient=environment reservoir</x:v>
      </x:c>
      <x:c r="BL30" s="56" t="str"/>
      <x:c r="BM30" s="56"/>
    </x:row>
    <x:row r="31">
      <x:c r="A31" s="14" t="str">
        <x:v>新鲜空气不变</x:v>
      </x:c>
      <x:c r="B31" s="14" t="str">
        <x:v>external240_fresh_air_fixed_j0p1_R0p500</x:v>
      </x:c>
      <x:c r="C31" s="15" t="b">
        <x:v>1</x:v>
      </x:c>
      <x:c r="D31" s="15" t="b">
        <x:v>1</x:v>
      </x:c>
      <x:c r="E31" s="16" t="n">
        <x:v>0.1</x:v>
      </x:c>
      <x:c r="F31" s="16" t="n">
        <x:v>5</x:v>
      </x:c>
      <x:c r="G31" s="17" t="n">
        <x:v>0.5</x:v>
      </x:c>
      <x:c r="H31" s="17" t="n">
        <x:v>0.49999999999999617</x:v>
      </x:c>
      <x:c r="I31" s="17" t="n">
        <x:v>-3.83026943495679e-15</x:v>
      </x:c>
      <x:c r="J31" s="17" t="n">
        <x:v>0.025</x:v>
      </x:c>
      <x:c r="K31" s="17" t="n">
        <x:v>0.3333333333333333</x:v>
      </x:c>
      <x:c r="L31" s="17" t="n">
        <x:v>0.3333333333333316</x:v>
      </x:c>
      <x:c r="M31" s="17" t="n">
        <x:v>0.3362561791446666</x:v>
      </x:c>
      <x:c r="N31" s="18" t="n">
        <x:v>0.02039907890558236</x:v>
      </x:c>
      <x:c r="O31" s="27" t="n">
        <x:f>IF(G31=0,P31,IFERROR(N31/G31,""))</x:f>
        <x:v>0.04079815781116472</x:v>
      </x:c>
      <x:c r="P31" s="27" t="n">
        <x:v>0.04026621193746299</x:v>
      </x:c>
      <x:c r="Q31" s="17" t="n">
        <x:v>7.021969496674601</x:v>
      </x:c>
      <x:c r="R31" s="17" t="n">
        <x:v>7.021969496674553</x:v>
      </x:c>
      <x:c r="S31" s="14" t="str">
        <x:v>feasible_above_1p2</x:v>
      </x:c>
      <x:c r="T31" s="14" t="n">
        <x:v>0.7992386331198106</x:v>
      </x:c>
      <x:c r="U31" s="17" t="n">
        <x:v>0.10246900900385215</x:v>
      </x:c>
      <x:c r="V31" s="17" t="n">
        <x:v>40.000000000000014</x:v>
      </x:c>
      <x:c r="W31" s="17" t="n">
        <x:v>101.32500000000003</x:v>
      </x:c>
      <x:c r="X31" s="17" t="n">
        <x:v>146.84872443835386</x:v>
      </x:c>
      <x:c r="Y31" s="17" t="n">
        <x:v>146.73622106805516</x:v>
      </x:c>
      <x:c r="Z31" s="17" t="n">
        <x:v>146.73622106805516</x:v>
      </x:c>
      <x:c r="AA31" s="17" t="n">
        <x:v>141.32500000000002</x:v>
      </x:c>
      <x:c r="AB31" s="17" t="n">
        <x:v>141.32500000000007</x:v>
      </x:c>
      <x:c r="AC31" s="14" t="n">
        <x:v>0.23472071635881206</x:v>
      </x:c>
      <x:c r="AD31" s="17" t="n">
        <x:v>19.748847285869537</x:v>
      </x:c>
      <x:c r="AE31" s="19" t="n">
        <x:v>33.43955760360137</x:v>
      </x:c>
      <x:c r="AF31" s="19" t="n">
        <x:v>7.943667946183041</x:v>
      </x:c>
      <x:c r="AG31" s="17" t="n">
        <x:v>0.6325831550402811</x:v>
      </x:c>
      <x:c r="AH31" s="14" t="n">
        <x:v>0</x:v>
      </x:c>
      <x:c r="AI31" s="14" t="n">
        <x:v>0</x:v>
      </x:c>
      <x:c r="AJ31" s="14" t="str">
        <x:v>gas_phase_noncondensing</x:v>
      </x:c>
      <x:c r="AK31" s="14" t="n">
        <x:v>0.5235662077859112</x:v>
      </x:c>
      <x:c r="AL31" s="14" t="n">
        <x:v>0</x:v>
      </x:c>
      <x:c r="AM31" s="14" t="str">
        <x:v>gas_phase_noncondensing</x:v>
      </x:c>
      <x:c r="AN31" s="14"/>
      <x:c r="AO31" s="14"/>
      <x:c r="AP31" s="14" t="str">
        <x:v>not_applicable_ideal_connection</x:v>
      </x:c>
      <x:c r="AQ31" s="14" t="str">
        <x:v>within_control_tolerance</x:v>
      </x:c>
      <x:c r="AR31" s="14" t="str">
        <x:v>candidate_feasible_gas_phase_screen</x:v>
      </x:c>
      <x:c r="AS31" s="14" t="str"/>
      <x:c r="AT31" s="14" t="n">
        <x:f t="shared" si="0">IFERROR(MAX(0,AG31-1)*100,"")</x:f>
        <x:v>0</x:v>
      </x:c>
      <x:c r="AU31" s="14" t="n">
        <x:f t="shared" si="1">IFERROR(AH31*1000000,"")</x:f>
        <x:v>0</x:v>
      </x:c>
      <x:c r="AV31" s="14" t="n">
        <x:f t="shared" si="2">IFERROR(AI31*1000000,"")</x:f>
        <x:v>0</x:v>
      </x:c>
      <x:c r="AW31" s="14" t="n">
        <x:f t="shared" si="3">IFERROR((AB31-AA31)*1000,"")</x:f>
        <x:v>5.6843418860808015e-11</x:v>
      </x:c>
      <x:c r="AX31"/>
      <x:c r="AY31" s="57" t="n">
        <x:v>141.32500000000005</x:v>
      </x:c>
      <x:c r="AZ31" s="57" t="n">
        <x:v>141.32500000000005</x:v>
      </x:c>
      <x:c r="BA31" s="57" t="n">
        <x:v>101.32500000000003</x:v>
      </x:c>
      <x:c r="BB31" s="57" t="n">
        <x:f>IFERROR(AZ31-BA31,"")</x:f>
        <x:v>40.000000000000014</x:v>
      </x:c>
      <x:c r="BC31" s="57" t="n">
        <x:f>IFERROR(AY31-BH31,"")</x:f>
        <x:v>40.00000000000004</x:v>
      </x:c>
      <x:c r="BD31" s="57" t="n">
        <x:f>IFERROR(AB31-W31,"")</x:f>
        <x:v>40.00000000000004</x:v>
      </x:c>
      <x:c r="BE31" s="57" t="n">
        <x:f>IFERROR(AB31-AY31,"")</x:f>
        <x:v>2.842170943040401e-14</x:v>
      </x:c>
      <x:c r="BF31" s="57" t="n">
        <x:f>IFERROR(AY31-AZ31,"")</x:f>
        <x:v>0</x:v>
      </x:c>
      <x:c r="BG31" s="57" t="n">
        <x:f>IFERROR(BA31-W31,"")</x:f>
        <x:v>0</x:v>
      </x:c>
      <x:c r="BH31" s="57" t="n">
        <x:v>101.325</x:v>
      </x:c>
      <x:c r="BI31" s="56" t="str">
        <x:v>RouteA_Focused_External240kW_VSH_PassiveCEGR_fresh_air_fixed_4J_600s_20260820.mat</x:v>
      </x:c>
      <x:c r="BJ31" s="56" t="str">
        <x:v>压力：kPa abs；压差/等式偏差：kPa；流量：kg/s</x:v>
      </x:c>
      <x:c r="BK31" s="56" t="str">
        <x:v>p_stack_out=cathode outlet chamber; p_split=ideal tee; p_EGR_up/down=cEGR valve ports; p_comp_in=compressor inlet mixer; p_ambient=environment reservoir</x:v>
      </x:c>
      <x:c r="BL31" s="56" t="str"/>
      <x:c r="BM31" s="56"/>
    </x:row>
    <x:row r="32">
      <x:c r="A32" s="14" t="str">
        <x:v>新鲜空气不变</x:v>
      </x:c>
      <x:c r="B32" s="14" t="str">
        <x:v>external240_fresh_air_fixed_j0p1_R1p000</x:v>
      </x:c>
      <x:c r="C32" s="15" t="b">
        <x:v>1</x:v>
      </x:c>
      <x:c r="D32" s="15" t="b">
        <x:v>1</x:v>
      </x:c>
      <x:c r="E32" s="16" t="n">
        <x:v>0.1</x:v>
      </x:c>
      <x:c r="F32" s="16" t="n">
        <x:v>5</x:v>
      </x:c>
      <x:c r="G32" s="17" t="n">
        <x:v>1</x:v>
      </x:c>
      <x:c r="H32" s="17" t="n">
        <x:v>0.9999999996800035</x:v>
      </x:c>
      <x:c r="I32" s="17" t="n">
        <x:v>-3.199964737632399e-10</x:v>
      </x:c>
      <x:c r="J32" s="17" t="n">
        <x:v>0.05</x:v>
      </x:c>
      <x:c r="K32" s="17" t="n">
        <x:v>0.5</x:v>
      </x:c>
      <x:c r="L32" s="17" t="n">
        <x:v>0.4999999999200009</x:v>
      </x:c>
      <x:c r="M32" s="17" t="n">
        <x:v>0.5033375044352372</x:v>
      </x:c>
      <x:c r="N32" s="18" t="n">
        <x:v>0.04079815779695056</x:v>
      </x:c>
      <x:c r="O32" s="27" t="n">
        <x:f>IF(G32=0,P32,IFERROR(N32/G32,""))</x:f>
        <x:v>0.04079815779695056</x:v>
      </x:c>
      <x:c r="P32" s="27" t="n">
        <x:v>0.040257113144418225</x:v>
      </x:c>
      <x:c r="Q32" s="17" t="n">
        <x:v>9.04780928351681</x:v>
      </x:c>
      <x:c r="R32" s="17" t="n">
        <x:v>9.047809281158264</x:v>
      </x:c>
      <x:c r="S32" s="14" t="str">
        <x:v>feasible_above_1p2</x:v>
      </x:c>
      <x:c r="T32" s="14" t="n">
        <x:v>0.799261230624346</x:v>
      </x:c>
      <x:c r="U32" s="17" t="n">
        <x:v>0.19932771711316086</x:v>
      </x:c>
      <x:c r="V32" s="17" t="n">
        <x:v>40.00000000004534</x:v>
      </x:c>
      <x:c r="W32" s="17" t="n">
        <x:v>101.32500000000002</x:v>
      </x:c>
      <x:c r="X32" s="17" t="n">
        <x:v>148.94786973262342</x:v>
      </x:c>
      <x:c r="Y32" s="17" t="n">
        <x:v>148.74786568545932</x:v>
      </x:c>
      <x:c r="Z32" s="17" t="n">
        <x:v>148.74786568545935</x:v>
      </x:c>
      <x:c r="AA32" s="17" t="n">
        <x:v>141.32500000000002</x:v>
      </x:c>
      <x:c r="AB32" s="17" t="n">
        <x:v>141.32500000004535</x:v>
      </x:c>
      <x:c r="AC32" s="14" t="n">
        <x:v>0.3102586440704505</x:v>
      </x:c>
      <x:c r="AD32" s="17" t="n">
        <x:v>18.997302891871698</x:v>
      </x:c>
      <x:c r="AE32" s="19" t="n">
        <x:v>39.95870054585066</x:v>
      </x:c>
      <x:c r="AF32" s="19" t="n">
        <x:v>9.796914254326943</x:v>
      </x:c>
      <x:c r="AG32" s="17" t="n">
        <x:v>0.5816787067144459</x:v>
      </x:c>
      <x:c r="AH32" s="14" t="n">
        <x:v>0</x:v>
      </x:c>
      <x:c r="AI32" s="14" t="n">
        <x:v>0</x:v>
      </x:c>
      <x:c r="AJ32" s="14" t="str">
        <x:v>gas_phase_noncondensing</x:v>
      </x:c>
      <x:c r="AK32" s="14" t="n">
        <x:v>0.5267853646725736</x:v>
      </x:c>
      <x:c r="AL32" s="14" t="n">
        <x:v>0</x:v>
      </x:c>
      <x:c r="AM32" s="14" t="str">
        <x:v>gas_phase_noncondensing</x:v>
      </x:c>
      <x:c r="AN32" s="14"/>
      <x:c r="AO32" s="14"/>
      <x:c r="AP32" s="14" t="str">
        <x:v>not_applicable_ideal_connection</x:v>
      </x:c>
      <x:c r="AQ32" s="14" t="str">
        <x:v>within_control_tolerance</x:v>
      </x:c>
      <x:c r="AR32" s="14" t="str">
        <x:v>candidate_feasible_gas_phase_screen</x:v>
      </x:c>
      <x:c r="AS32" s="14" t="str"/>
      <x:c r="AT32" s="14" t="n">
        <x:f t="shared" si="0">IFERROR(MAX(0,AG32-1)*100,"")</x:f>
        <x:v>0</x:v>
      </x:c>
      <x:c r="AU32" s="14" t="n">
        <x:f t="shared" si="1">IFERROR(AH32*1000000,"")</x:f>
        <x:v>0</x:v>
      </x:c>
      <x:c r="AV32" s="14" t="n">
        <x:f t="shared" si="2">IFERROR(AI32*1000000,"")</x:f>
        <x:v>0</x:v>
      </x:c>
      <x:c r="AW32" s="14" t="n">
        <x:f t="shared" si="3">IFERROR((AB32-AA32)*1000,"")</x:f>
        <x:v>4.533262654149439e-8</x:v>
      </x:c>
      <x:c r="AX32"/>
      <x:c r="AY32" s="57" t="n">
        <x:v>141.32500000004532</x:v>
      </x:c>
      <x:c r="AZ32" s="57" t="n">
        <x:v>141.32500000004532</x:v>
      </x:c>
      <x:c r="BA32" s="57" t="n">
        <x:v>101.32500000000002</x:v>
      </x:c>
      <x:c r="BB32" s="57" t="n">
        <x:f>IFERROR(AZ32-BA32,"")</x:f>
        <x:v>40.000000000045304</x:v>
      </x:c>
      <x:c r="BC32" s="57" t="n">
        <x:f>IFERROR(AY32-BH32,"")</x:f>
        <x:v>40.00000000004532</x:v>
      </x:c>
      <x:c r="BD32" s="57" t="n">
        <x:f>IFERROR(AB32-W32,"")</x:f>
        <x:v>40.00000000004533</x:v>
      </x:c>
      <x:c r="BE32" s="57" t="n">
        <x:f>IFERROR(AB32-AY32,"")</x:f>
        <x:v>2.842170943040401e-14</x:v>
      </x:c>
      <x:c r="BF32" s="57" t="n">
        <x:f>IFERROR(AY32-AZ32,"")</x:f>
        <x:v>0</x:v>
      </x:c>
      <x:c r="BG32" s="57" t="n">
        <x:f>IFERROR(BA32-W32,"")</x:f>
        <x:v>0</x:v>
      </x:c>
      <x:c r="BH32" s="57" t="n">
        <x:v>101.325</x:v>
      </x:c>
      <x:c r="BI32" s="56" t="str">
        <x:v>RouteA_Focused_External240kW_VSH_PassiveCEGR_fresh_air_fixed_4J_600s_20260820.mat</x:v>
      </x:c>
      <x:c r="BJ32" s="56" t="str">
        <x:v>压力：kPa abs；压差/等式偏差：kPa；流量：kg/s</x:v>
      </x:c>
      <x:c r="BK32" s="56" t="str">
        <x:v>p_stack_out=cathode outlet chamber; p_split=ideal tee; p_EGR_up/down=cEGR valve ports; p_comp_in=compressor inlet mixer; p_ambient=environment reservoir</x:v>
      </x:c>
      <x:c r="BL32" s="56" t="str"/>
      <x:c r="BM32" s="56"/>
    </x:row>
    <x:row r="33">
      <x:c r="A33" s="14" t="str">
        <x:v>新鲜空气不变</x:v>
      </x:c>
      <x:c r="B33" s="14" t="str">
        <x:v>external240_fresh_air_fixed_j0p1_R2p000</x:v>
      </x:c>
      <x:c r="C33" s="15" t="b">
        <x:v>1</x:v>
      </x:c>
      <x:c r="D33" s="15" t="b">
        <x:v>1</x:v>
      </x:c>
      <x:c r="E33" s="16" t="n">
        <x:v>0.1</x:v>
      </x:c>
      <x:c r="F33" s="16" t="n">
        <x:v>5</x:v>
      </x:c>
      <x:c r="G33" s="17" t="n">
        <x:v>2</x:v>
      </x:c>
      <x:c r="H33" s="17" t="n">
        <x:v>1.9999842594978439</x:v>
      </x:c>
      <x:c r="I33" s="17" t="n">
        <x:v>-0.000015740502156136316</x:v>
      </x:c>
      <x:c r="J33" s="17" t="n">
        <x:v>0.1</x:v>
      </x:c>
      <x:c r="K33" s="17" t="n">
        <x:v>0.6666666666666666</x:v>
      </x:c>
      <x:c r="L33" s="17" t="n">
        <x:v>0.6666649177116538</x:v>
      </x:c>
      <x:c r="M33" s="17" t="n">
        <x:v>0.6697198021042667</x:v>
      </x:c>
      <x:c r="N33" s="18" t="n">
        <x:v>0.08159568307554495</x:v>
      </x:c>
      <x:c r="O33" s="27" t="n">
        <x:f>IF(G33=0,P33,IFERROR(N33/G33,""))</x:f>
        <x:v>0.040797841537772474</x:v>
      </x:c>
      <x:c r="P33" s="27" t="n">
        <x:v>0.040239870866820855</x:v>
      </x:c>
      <x:c r="Q33" s="17" t="n">
        <x:v>13.101976310534987</x:v>
      </x:c>
      <x:c r="R33" s="17" t="n">
        <x:v>13.101925663058951</x:v>
      </x:c>
      <x:c r="S33" s="14" t="str">
        <x:v>feasible_above_1p2</x:v>
      </x:c>
      <x:c r="T33" s="14" t="n">
        <x:v>0.7992479220744821</x:v>
      </x:c>
      <x:c r="U33" s="17" t="n">
        <x:v>0.3792747251501283</x:v>
      </x:c>
      <x:c r="V33" s="17" t="n">
        <x:v>40.000000691625694</x:v>
      </x:c>
      <x:c r="W33" s="17" t="n">
        <x:v>101.32500000000002</x:v>
      </x:c>
      <x:c r="X33" s="17" t="n">
        <x:v>153.72379124514356</x:v>
      </x:c>
      <x:c r="Y33" s="17" t="n">
        <x:v>153.27379016371322</x:v>
      </x:c>
      <x:c r="Z33" s="17" t="n">
        <x:v>153.27379016371327</x:v>
      </x:c>
      <x:c r="AA33" s="17" t="n">
        <x:v>141.32500000000002</x:v>
      </x:c>
      <x:c r="AB33" s="17" t="n">
        <x:v>141.3250006916257</x:v>
      </x:c>
      <x:c r="AC33" s="14" t="n">
        <x:v>0.3872681681863102</x:v>
      </x:c>
      <x:c r="AD33" s="17" t="n">
        <x:v>18.259501468427814</x:v>
      </x:c>
      <x:c r="AE33" s="19" t="n">
        <x:v>46.04172158911439</x:v>
      </x:c>
      <x:c r="AF33" s="19" t="n">
        <x:v>12.189980518672328</x:v>
      </x:c>
      <x:c r="AG33" s="17" t="n">
        <x:v>0.5217343350816628</x:v>
      </x:c>
      <x:c r="AH33" s="14" t="n">
        <x:v>0</x:v>
      </x:c>
      <x:c r="AI33" s="14" t="n">
        <x:v>0</x:v>
      </x:c>
      <x:c r="AJ33" s="14" t="str">
        <x:v>gas_phase_noncondensing</x:v>
      </x:c>
      <x:c r="AK33" s="14" t="n">
        <x:v>0.5323843851387625</x:v>
      </x:c>
      <x:c r="AL33" s="14" t="n">
        <x:v>0</x:v>
      </x:c>
      <x:c r="AM33" s="14" t="str">
        <x:v>gas_phase_noncondensing</x:v>
      </x:c>
      <x:c r="AN33" s="14"/>
      <x:c r="AO33" s="14"/>
      <x:c r="AP33" s="14" t="str">
        <x:v>not_applicable_ideal_connection</x:v>
      </x:c>
      <x:c r="AQ33" s="14" t="str">
        <x:v>within_control_tolerance</x:v>
      </x:c>
      <x:c r="AR33" s="14" t="str">
        <x:v>candidate_feasible_gas_phase_screen</x:v>
      </x:c>
      <x:c r="AS33" s="14" t="str"/>
      <x:c r="AT33" s="14" t="n">
        <x:f t="shared" si="0">IFERROR(MAX(0,AG33-1)*100,"")</x:f>
        <x:v>0</x:v>
      </x:c>
      <x:c r="AU33" s="14" t="n">
        <x:f t="shared" si="1">IFERROR(AH33*1000000,"")</x:f>
        <x:v>0</x:v>
      </x:c>
      <x:c r="AV33" s="14" t="n">
        <x:f t="shared" si="2">IFERROR(AI33*1000000,"")</x:f>
        <x:v>0</x:v>
      </x:c>
      <x:c r="AW33" s="14" t="n">
        <x:f t="shared" si="3">IFERROR((AB33-AA33)*1000,"")</x:f>
        <x:v>0.0006916256722888647</x:v>
      </x:c>
      <x:c r="AX33"/>
      <x:c r="AY33" s="57" t="n">
        <x:v>141.32500069162566</x:v>
      </x:c>
      <x:c r="AZ33" s="57" t="n">
        <x:v>141.32500069162566</x:v>
      </x:c>
      <x:c r="BA33" s="57" t="n">
        <x:v>101.32500000000002</x:v>
      </x:c>
      <x:c r="BB33" s="57" t="n">
        <x:f>IFERROR(AZ33-BA33,"")</x:f>
        <x:v>40.000000691625644</x:v>
      </x:c>
      <x:c r="BC33" s="57" t="n">
        <x:f>IFERROR(AY33-BH33,"")</x:f>
        <x:v>40.00000069162566</x:v>
      </x:c>
      <x:c r="BD33" s="57" t="n">
        <x:f>IFERROR(AB33-W33,"")</x:f>
        <x:v>40.00000069162567</x:v>
      </x:c>
      <x:c r="BE33" s="57" t="n">
        <x:f>IFERROR(AB33-AY33,"")</x:f>
        <x:v>2.842170943040401e-14</x:v>
      </x:c>
      <x:c r="BF33" s="57" t="n">
        <x:f>IFERROR(AY33-AZ33,"")</x:f>
        <x:v>0</x:v>
      </x:c>
      <x:c r="BG33" s="57" t="n">
        <x:f>IFERROR(BA33-W33,"")</x:f>
        <x:v>0</x:v>
      </x:c>
      <x:c r="BH33" s="57" t="n">
        <x:v>101.325</x:v>
      </x:c>
      <x:c r="BI33" s="56" t="str">
        <x:v>RouteA_Focused_External240kW_VSH_PassiveCEGR_fresh_air_fixed_4J_600s_20260820.mat</x:v>
      </x:c>
      <x:c r="BJ33" s="56" t="str">
        <x:v>压力：kPa abs；压差/等式偏差：kPa；流量：kg/s</x:v>
      </x:c>
      <x:c r="BK33" s="56" t="str">
        <x:v>p_stack_out=cathode outlet chamber; p_split=ideal tee; p_EGR_up/down=cEGR valve ports; p_comp_in=compressor inlet mixer; p_ambient=environment reservoir</x:v>
      </x:c>
      <x:c r="BL33" s="56" t="str"/>
      <x:c r="BM33" s="56"/>
    </x:row>
    <x:row r="34">
      <x:c r="A34" s="14" t="str">
        <x:v>新鲜空气不变</x:v>
      </x:c>
      <x:c r="B34" s="14" t="str">
        <x:v>external240_fresh_air_fixed_j0p1_R4p000</x:v>
      </x:c>
      <x:c r="C34" s="15" t="b">
        <x:v>1</x:v>
      </x:c>
      <x:c r="D34" s="15" t="b">
        <x:v>1</x:v>
      </x:c>
      <x:c r="E34" s="16" t="n">
        <x:v>0.1</x:v>
      </x:c>
      <x:c r="F34" s="16" t="n">
        <x:v>5</x:v>
      </x:c>
      <x:c r="G34" s="17" t="n">
        <x:v>4</x:v>
      </x:c>
      <x:c r="H34" s="17" t="n">
        <x:v>3.9728303232591804</x:v>
      </x:c>
      <x:c r="I34" s="17" t="n">
        <x:v>-0.027169676740819604</x:v>
      </x:c>
      <x:c r="J34" s="17" t="n">
        <x:v>0.2</x:v>
      </x:c>
      <x:c r="K34" s="17" t="n">
        <x:v>0.8</x:v>
      </x:c>
      <x:c r="L34" s="17" t="n">
        <x:v>0.7989071501300039</x:v>
      </x:c>
      <x:c r="M34" s="17" t="n">
        <x:v>0.8012548688620714</x:v>
      </x:c>
      <x:c r="N34" s="18" t="n">
        <x:v>0.16206064695466416</x:v>
      </x:c>
      <x:c r="O34" s="27" t="n">
        <x:f>IF(G34=0,P34,IFERROR(N34/G34,""))</x:f>
        <x:v>0.04051516173866604</x:v>
      </x:c>
      <x:c r="P34" s="27" t="n">
        <x:v>0.04019790179502385</x:v>
      </x:c>
      <x:c r="Q34" s="17" t="n">
        <x:v>21.108610966481756</x:v>
      </x:c>
      <x:c r="R34" s="17" t="n">
        <x:v>21.078463131049745</x:v>
      </x:c>
      <x:c r="S34" s="14" t="str">
        <x:v>feasible_above_1p2</x:v>
      </x:c>
      <x:c r="T34" s="14" t="n">
        <x:v>0.799067255303467</x:v>
      </x:c>
      <x:c r="U34" s="17" t="n">
        <x:v>0.7487041895797059</x:v>
      </x:c>
      <x:c r="V34" s="17" t="n">
        <x:v>40.000106266545075</x:v>
      </x:c>
      <x:c r="W34" s="17" t="n">
        <x:v>101.32500000000002</x:v>
      </x:c>
      <x:c r="X34" s="17" t="n">
        <x:v>166.0617781054622</x:v>
      </x:c>
      <x:c r="Y34" s="17" t="n">
        <x:v>164.82557159555705</x:v>
      </x:c>
      <x:c r="Z34" s="17" t="n">
        <x:v>164.8255715955571</x:v>
      </x:c>
      <x:c r="AA34" s="17" t="n">
        <x:v>141.32500000000002</x:v>
      </x:c>
      <x:c r="AB34" s="17" t="n">
        <x:v>141.32510626654508</x:v>
      </x:c>
      <x:c r="AC34" s="14" t="n">
        <x:v>0.4527717128530913</x:v>
      </x:c>
      <x:c r="AD34" s="17" t="n">
        <x:v>17.775077869356007</x:v>
      </x:c>
      <x:c r="AE34" s="19" t="n">
        <x:v>50.83656444425577</x:v>
      </x:c>
      <x:c r="AF34" s="19" t="n">
        <x:v>14.511838268063642</x:v>
      </x:c>
      <x:c r="AG34" s="17" t="n">
        <x:v>0.47027790682287174</x:v>
      </x:c>
      <x:c r="AH34" s="14" t="n">
        <x:v>0</x:v>
      </x:c>
      <x:c r="AI34" s="14" t="n">
        <x:v>0</x:v>
      </x:c>
      <x:c r="AJ34" s="14" t="str">
        <x:v>gas_phase_noncondensing</x:v>
      </x:c>
      <x:c r="AK34" s="14" t="n">
        <x:v>0.5419704561507118</x:v>
      </x:c>
      <x:c r="AL34" s="14" t="n">
        <x:v>0</x:v>
      </x:c>
      <x:c r="AM34" s="14" t="str">
        <x:v>gas_phase_noncondensing</x:v>
      </x:c>
      <x:c r="AN34" s="14"/>
      <x:c r="AO34" s="14"/>
      <x:c r="AP34" s="14" t="str">
        <x:v>not_applicable_ideal_connection</x:v>
      </x:c>
      <x:c r="AQ34" s="14" t="str">
        <x:v>within_control_tolerance</x:v>
      </x:c>
      <x:c r="AR34" s="14" t="str">
        <x:v>candidate_feasible_gas_phase_screen</x:v>
      </x:c>
      <x:c r="AS34" s="14" t="str"/>
      <x:c r="AT34" s="14" t="n">
        <x:f t="shared" si="0">IFERROR(MAX(0,AG34-1)*100,"")</x:f>
        <x:v>0</x:v>
      </x:c>
      <x:c r="AU34" s="14" t="n">
        <x:f t="shared" si="1">IFERROR(AH34*1000000,"")</x:f>
        <x:v>0</x:v>
      </x:c>
      <x:c r="AV34" s="14" t="n">
        <x:f t="shared" si="2">IFERROR(AI34*1000000,"")</x:f>
        <x:v>0</x:v>
      </x:c>
      <x:c r="AW34" s="14" t="n">
        <x:f t="shared" si="3">IFERROR((AB34-AA34)*1000,"")</x:f>
        <x:v>0.10626654506040722</x:v>
      </x:c>
      <x:c r="AX34"/>
      <x:c r="AY34" s="57" t="n">
        <x:v>141.32510626654505</x:v>
      </x:c>
      <x:c r="AZ34" s="57" t="n">
        <x:v>141.32510626654505</x:v>
      </x:c>
      <x:c r="BA34" s="57" t="n">
        <x:v>101.32500000000002</x:v>
      </x:c>
      <x:c r="BB34" s="57" t="n">
        <x:f>IFERROR(AZ34-BA34,"")</x:f>
        <x:v>40.00010626654503</x:v>
      </x:c>
      <x:c r="BC34" s="57" t="n">
        <x:f>IFERROR(AY34-BH34,"")</x:f>
        <x:v>40.000106266545046</x:v>
      </x:c>
      <x:c r="BD34" s="57" t="n">
        <x:f>IFERROR(AB34-W34,"")</x:f>
        <x:v>40.00010626654506</x:v>
      </x:c>
      <x:c r="BE34" s="57" t="n">
        <x:f>IFERROR(AB34-AY34,"")</x:f>
        <x:v>2.842170943040401e-14</x:v>
      </x:c>
      <x:c r="BF34" s="57" t="n">
        <x:f>IFERROR(AY34-AZ34,"")</x:f>
        <x:v>0</x:v>
      </x:c>
      <x:c r="BG34" s="57" t="n">
        <x:f>IFERROR(BA34-W34,"")</x:f>
        <x:v>0</x:v>
      </x:c>
      <x:c r="BH34" s="57" t="n">
        <x:v>101.325</x:v>
      </x:c>
      <x:c r="BI34" s="56" t="str">
        <x:v>RouteA_Focused_External240kW_VSH_PassiveCEGR_fresh_air_fixed_4J_600s_20260820.mat</x:v>
      </x:c>
      <x:c r="BJ34" s="56" t="str">
        <x:v>压力：kPa abs；压差/等式偏差：kPa；流量：kg/s</x:v>
      </x:c>
      <x:c r="BK34" s="56" t="str">
        <x:v>p_stack_out=cathode outlet chamber; p_split=ideal tee; p_EGR_up/down=cEGR valve ports; p_comp_in=compressor inlet mixer; p_ambient=environment reservoir</x:v>
      </x:c>
      <x:c r="BL34" s="56" t="str"/>
      <x:c r="BM34" s="56"/>
    </x:row>
    <x:row r="35">
      <x:c r="A35" s="14" t="str">
        <x:v>新鲜空气不变</x:v>
      </x:c>
      <x:c r="B35" s="14" t="str">
        <x:v>external240_fresh_air_fixed_j0p1_R8p000</x:v>
      </x:c>
      <x:c r="C35" s="15" t="b">
        <x:v>1</x:v>
      </x:c>
      <x:c r="D35" s="15" t="b">
        <x:v>0</x:v>
      </x:c>
      <x:c r="E35" s="16" t="n">
        <x:v>0.1</x:v>
      </x:c>
      <x:c r="F35" s="16" t="n">
        <x:v>5</x:v>
      </x:c>
      <x:c r="G35" s="17" t="n">
        <x:v>8</x:v>
      </x:c>
      <x:c r="H35" s="17" t="n">
        <x:v>5.404412899565239</x:v>
      </x:c>
      <x:c r="I35" s="17" t="n">
        <x:v>-2.595587100434761</x:v>
      </x:c>
      <x:c r="J35" s="17" t="n">
        <x:v>0.4</x:v>
      </x:c>
      <x:c r="K35" s="17" t="n">
        <x:v>0.8888888888888888</x:v>
      </x:c>
      <x:c r="L35" s="17" t="n">
        <x:v>0.8438576625707745</x:v>
      </x:c>
      <x:c r="M35" s="17" t="n">
        <x:v>0.8460075676298549</x:v>
      </x:c>
      <x:c r="N35" s="18" t="n">
        <x:v>0.22049009035315847</x:v>
      </x:c>
      <x:c r="O35" s="27" t="n">
        <x:f>IF(G35=0,P35,IFERROR(N35/G35,""))</x:f>
        <x:v>0.02756126129414481</x:v>
      </x:c>
      <x:c r="P35" s="27" t="n">
        <x:v>0.04013416265544736</x:v>
      </x:c>
      <x:c r="Q35" s="17" t="n">
        <x:v>26.95611343131168</x:v>
      </x:c>
      <x:c r="R35" s="17" t="n">
        <x:v>26.956113431311667</x:v>
      </x:c>
      <x:c r="S35" s="14" t="str">
        <x:v>feasible_above_1p2</x:v>
      </x:c>
      <x:c r="T35" s="14" t="n">
        <x:v>0.799501855754174</x:v>
      </x:c>
      <x:c r="U35" s="17" t="n">
        <x:v>1</x:v>
      </x:c>
      <x:c r="V35" s="17" t="n">
        <x:v>40.00000000000003</x:v>
      </x:c>
      <x:c r="W35" s="17" t="n">
        <x:v>101.32500000000002</x:v>
      </x:c>
      <x:c r="X35" s="17" t="n">
        <x:v>177.87400287994348</x:v>
      </x:c>
      <x:c r="Y35" s="17" t="n">
        <x:v>175.8231592848719</x:v>
      </x:c>
      <x:c r="Z35" s="17" t="n">
        <x:v>175.82315928487196</x:v>
      </x:c>
      <x:c r="AA35" s="17" t="n">
        <x:v>141.32500000000002</x:v>
      </x:c>
      <x:c r="AB35" s="17" t="n">
        <x:v>141.32500000000005</x:v>
      </x:c>
      <x:c r="AC35" s="14" t="n">
        <x:v>0.4916291717460004</x:v>
      </x:c>
      <x:c r="AD35" s="17" t="n">
        <x:v>17.579335153473163</x:v>
      </x:c>
      <x:c r="AE35" s="19" t="n">
        <x:v>49.28091774981283</x:v>
      </x:c>
      <x:c r="AF35" s="19" t="n">
        <x:v>12.685547238802698</x:v>
      </x:c>
      <x:c r="AG35" s="17" t="n">
        <x:v>0.5155299916034939</x:v>
      </x:c>
      <x:c r="AH35" s="14" t="n">
        <x:v>0</x:v>
      </x:c>
      <x:c r="AI35" s="14" t="n">
        <x:v>0</x:v>
      </x:c>
      <x:c r="AJ35" s="14" t="str">
        <x:v>gas_phase_noncondensing</x:v>
      </x:c>
      <x:c r="AK35" s="14" t="n">
        <x:v>0.5630561583758259</x:v>
      </x:c>
      <x:c r="AL35" s="14" t="n">
        <x:v>0</x:v>
      </x:c>
      <x:c r="AM35" s="14" t="str">
        <x:v>gas_phase_noncondensing</x:v>
      </x:c>
      <x:c r="AN35" s="14"/>
      <x:c r="AO35" s="14"/>
      <x:c r="AP35" s="14" t="str">
        <x:v>not_applicable_ideal_connection</x:v>
      </x:c>
      <x:c r="AQ35" s="14" t="str">
        <x:v>deviation_valve_area_saturated</x:v>
      </x:c>
      <x:c r="AR35" s="14" t="str">
        <x:v>requires_cegr_tracking_review</x:v>
      </x:c>
      <x:c r="AS35" s="14" t="str"/>
      <x:c r="AT35" s="14" t="n">
        <x:f t="shared" si="0">IFERROR(MAX(0,AG35-1)*100,"")</x:f>
        <x:v>0</x:v>
      </x:c>
      <x:c r="AU35" s="14" t="n">
        <x:f t="shared" si="1">IFERROR(AH35*1000000,"")</x:f>
        <x:v>0</x:v>
      </x:c>
      <x:c r="AV35" s="14" t="n">
        <x:f t="shared" si="2">IFERROR(AI35*1000000,"")</x:f>
        <x:v>0</x:v>
      </x:c>
      <x:c r="AW35" s="14" t="n">
        <x:f t="shared" si="3">IFERROR((AB35-AA35)*1000,"")</x:f>
        <x:v>2.8421709430404007e-11</x:v>
      </x:c>
      <x:c r="AX35" t="str">
        <x:v>valve_area</x:v>
      </x:c>
      <x:c r="AY35" s="57" t="n">
        <x:v>141.32500000000005</x:v>
      </x:c>
      <x:c r="AZ35" s="57" t="n">
        <x:v>141.32500000000005</x:v>
      </x:c>
      <x:c r="BA35" s="57" t="n">
        <x:v>101.32500000000002</x:v>
      </x:c>
      <x:c r="BB35" s="57" t="n">
        <x:f>IFERROR(AZ35-BA35,"")</x:f>
        <x:v>40.00000000000003</x:v>
      </x:c>
      <x:c r="BC35" s="57" t="n">
        <x:f>IFERROR(AY35-BH35,"")</x:f>
        <x:v>40.00000000000004</x:v>
      </x:c>
      <x:c r="BD35" s="57" t="n">
        <x:f>IFERROR(AB35-W35,"")</x:f>
        <x:v>40.00000000000003</x:v>
      </x:c>
      <x:c r="BE35" s="57" t="n">
        <x:f>IFERROR(AB35-AY35,"")</x:f>
        <x:v>0</x:v>
      </x:c>
      <x:c r="BF35" s="57" t="n">
        <x:f>IFERROR(AY35-AZ35,"")</x:f>
        <x:v>0</x:v>
      </x:c>
      <x:c r="BG35" s="57" t="n">
        <x:f>IFERROR(BA35-W35,"")</x:f>
        <x:v>0</x:v>
      </x:c>
      <x:c r="BH35" s="57" t="n">
        <x:v>101.325</x:v>
      </x:c>
      <x:c r="BI35" s="56" t="str">
        <x:v>RouteA_Focused_External240kW_VSH_PassiveCEGR_fresh_air_fixed_4J_600s_20260820.mat</x:v>
      </x:c>
      <x:c r="BJ35" s="56" t="str">
        <x:v>压力：kPa abs；压差/等式偏差：kPa；流量：kg/s</x:v>
      </x:c>
      <x:c r="BK35" s="56" t="str">
        <x:v>p_stack_out=cathode outlet chamber; p_split=ideal tee; p_EGR_up/down=cEGR valve ports; p_comp_in=compressor inlet mixer; p_ambient=environment reservoir</x:v>
      </x:c>
      <x:c r="BL35" s="56" t="str">
        <x:v>valve_area</x:v>
      </x:c>
      <x:c r="BM35" s="56" t="str">
        <x:v>valve_area</x:v>
      </x:c>
    </x:row>
    <x:row r="36">
      <x:c r="A36" s="14" t="str">
        <x:v>新鲜空气不变</x:v>
      </x:c>
      <x:c r="B36" s="14" t="str">
        <x:v>external240_fresh_air_fixed_j0p2_R0p000</x:v>
      </x:c>
      <x:c r="C36" s="15" t="b">
        <x:v>1</x:v>
      </x:c>
      <x:c r="D36" s="15" t="b">
        <x:v>1</x:v>
      </x:c>
      <x:c r="E36" s="16" t="n">
        <x:v>0.2</x:v>
      </x:c>
      <x:c r="F36" s="16" t="n">
        <x:v>3.6</x:v>
      </x:c>
      <x:c r="G36" s="17" t="n">
        <x:v>0</x:v>
      </x:c>
      <x:c r="H36" s="17" t="n">
        <x:v>4.018301979240531e-7</x:v>
      </x:c>
      <x:c r="I36" s="17" t="n">
        <x:v>4.018301979240531e-7</x:v>
      </x:c>
      <x:c r="J36" s="17" t="n">
        <x:v>0.005</x:v>
      </x:c>
      <x:c r="K36" s="17" t="n">
        <x:v>0</x:v>
      </x:c>
      <x:c r="L36" s="17" t="n">
        <x:v>4.018300364566099e-7</x:v>
      </x:c>
      <x:c r="M36" s="17" t="n">
        <x:v>4.068445153122642e-7</x:v>
      </x:c>
      <x:c r="N36" s="18" t="n">
        <x:v>2.3607261832603944e-8</x:v>
      </x:c>
      <x:c r="O36" s="27" t="n">
        <x:f>IF(G36=0,P36,IFERROR(N36/G36,""))</x:f>
        <x:v>0.05802524389446357</x:v>
      </x:c>
      <x:c r="P36" s="27" t="n">
        <x:v>0.05802524389446357</x:v>
      </x:c>
      <x:c r="Q36" s="17" t="n">
        <x:v>3.597863074556426</x:v>
      </x:c>
      <x:c r="R36" s="17" t="n">
        <x:v>3.5978630745564253</x:v>
      </x:c>
      <x:c r="S36" s="14" t="str">
        <x:v>feasible_above_1p2</x:v>
      </x:c>
      <x:c r="T36" s="14" t="n">
        <x:v>0.7806292629922037</x:v>
      </x:c>
      <x:c r="U36" s="17" t="n">
        <x:v>9.999999999999998e-8</x:v>
      </x:c>
      <x:c r="V36" s="17" t="n">
        <x:v>55.00000000000002</x:v>
      </x:c>
      <x:c r="W36" s="17" t="n">
        <x:v>101.32500000000002</x:v>
      </x:c>
      <x:c r="X36" s="17" t="n">
        <x:v>161.58922351769075</x:v>
      </x:c>
      <x:c r="Y36" s="17" t="n">
        <x:v>161.48554013230375</x:v>
      </x:c>
      <x:c r="Z36" s="17" t="n">
        <x:v>161.48554013230375</x:v>
      </x:c>
      <x:c r="AA36" s="17" t="n">
        <x:v>156.325</x:v>
      </x:c>
      <x:c r="AB36" s="17" t="n">
        <x:v>156.32500000000002</x:v>
      </x:c>
      <x:c r="AC36" s="14" t="n">
        <x:v>0.08468997407874163</x:v>
      </x:c>
      <x:c r="AD36" s="17" t="n">
        <x:v>21.278176460046872</x:v>
      </x:c>
      <x:c r="AE36" s="19" t="n">
        <x:v>19.703962282865575</x:v>
      </x:c>
      <x:c r="AF36" s="19" t="n">
        <x:v>10.431696116262842</x:v>
      </x:c>
      <x:c r="AG36" s="17" t="n">
        <x:v>0.5093081070831253</x:v>
      </x:c>
      <x:c r="AH36" s="14" t="n">
        <x:v>0</x:v>
      </x:c>
      <x:c r="AI36" s="14" t="n">
        <x:v>0</x:v>
      </x:c>
      <x:c r="AJ36" s="14" t="str">
        <x:v>gas_phase_noncondensing</x:v>
      </x:c>
      <x:c r="AK36" s="14" t="n">
        <x:v>0.7143381877891719</x:v>
      </x:c>
      <x:c r="AL36" s="14" t="n">
        <x:v>0</x:v>
      </x:c>
      <x:c r="AM36" s="14" t="str">
        <x:v>gas_phase_noncondensing</x:v>
      </x:c>
      <x:c r="AN36" s="14"/>
      <x:c r="AO36" s="14"/>
      <x:c r="AP36" s="14" t="str">
        <x:v>not_applicable_ideal_connection</x:v>
      </x:c>
      <x:c r="AQ36" s="14" t="str">
        <x:v>not_applicable_zero_target</x:v>
      </x:c>
      <x:c r="AR36" s="14" t="str">
        <x:v>candidate_feasible_gas_phase_screen</x:v>
      </x:c>
      <x:c r="AS36" s="14" t="str"/>
      <x:c r="AT36" s="14" t="n">
        <x:f t="shared" si="0">IFERROR(MAX(0,AG36-1)*100,"")</x:f>
        <x:v>0</x:v>
      </x:c>
      <x:c r="AU36" s="14" t="n">
        <x:f t="shared" si="1">IFERROR(AH36*1000000,"")</x:f>
        <x:v>0</x:v>
      </x:c>
      <x:c r="AV36" s="14" t="n">
        <x:f t="shared" si="2">IFERROR(AI36*1000000,"")</x:f>
        <x:v>0</x:v>
      </x:c>
      <x:c r="AW36" s="14" t="n">
        <x:f t="shared" si="3">IFERROR((AB36-AA36)*1000,"")</x:f>
        <x:v>2.8421709430404007e-11</x:v>
      </x:c>
      <x:c r="AX36"/>
      <x:c r="AY36" s="57" t="n">
        <x:v>156.325</x:v>
      </x:c>
      <x:c r="AZ36" s="57" t="n">
        <x:v>156.325</x:v>
      </x:c>
      <x:c r="BA36" s="57" t="n">
        <x:v>101.32500000000002</x:v>
      </x:c>
      <x:c r="BB36" s="57" t="n">
        <x:f>IFERROR(AZ36-BA36,"")</x:f>
        <x:v>54.99999999999997</x:v>
      </x:c>
      <x:c r="BC36" s="57" t="n">
        <x:f>IFERROR(AY36-BH36,"")</x:f>
        <x:v>54.999999999999986</x:v>
      </x:c>
      <x:c r="BD36" s="57" t="n">
        <x:f>IFERROR(AB36-W36,"")</x:f>
        <x:v>55</x:v>
      </x:c>
      <x:c r="BE36" s="57" t="n">
        <x:f>IFERROR(AB36-AY36,"")</x:f>
        <x:v>2.842170943040401e-14</x:v>
      </x:c>
      <x:c r="BF36" s="57" t="n">
        <x:f>IFERROR(AY36-AZ36,"")</x:f>
        <x:v>0</x:v>
      </x:c>
      <x:c r="BG36" s="57" t="n">
        <x:f>IFERROR(BA36-W36,"")</x:f>
        <x:v>0</x:v>
      </x:c>
      <x:c r="BH36" s="57" t="n">
        <x:v>101.325</x:v>
      </x:c>
      <x:c r="BI36" s="56" t="str">
        <x:v>RouteA_Focused_External240kW_VSH_PassiveCEGR_fresh_air_fixed_4J_600s_20260820.mat</x:v>
      </x:c>
      <x:c r="BJ36" s="56" t="str">
        <x:v>压力：kPa abs；压差/等式偏差：kPa；流量：kg/s</x:v>
      </x:c>
      <x:c r="BK36" s="56" t="str">
        <x:v>p_stack_out=cathode outlet chamber; p_split=ideal tee; p_EGR_up/down=cEGR valve ports; p_comp_in=compressor inlet mixer; p_ambient=environment reservoir</x:v>
      </x:c>
      <x:c r="BL36" s="56" t="str"/>
      <x:c r="BM36" s="56"/>
    </x:row>
    <x:row r="37">
      <x:c r="A37" s="14" t="str">
        <x:v>新鲜空气不变</x:v>
      </x:c>
      <x:c r="B37" s="14" t="str">
        <x:v>external240_fresh_air_fixed_j0p2_R0p100</x:v>
      </x:c>
      <x:c r="C37" s="15" t="b">
        <x:v>1</x:v>
      </x:c>
      <x:c r="D37" s="15" t="b">
        <x:v>1</x:v>
      </x:c>
      <x:c r="E37" s="16" t="n">
        <x:v>0.2</x:v>
      </x:c>
      <x:c r="F37" s="16" t="n">
        <x:v>3.6</x:v>
      </x:c>
      <x:c r="G37" s="17" t="n">
        <x:v>0.1</x:v>
      </x:c>
      <x:c r="H37" s="17" t="n">
        <x:v>0.10000000000000006</x:v>
      </x:c>
      <x:c r="I37" s="17" t="n">
        <x:v>5.551115123125783e-17</x:v>
      </x:c>
      <x:c r="J37" s="17" t="n">
        <x:v>0.005000000000000001</x:v>
      </x:c>
      <x:c r="K37" s="17" t="n">
        <x:v>0.09090909090909091</x:v>
      </x:c>
      <x:c r="L37" s="17" t="n">
        <x:v>0.09090909090909093</x:v>
      </x:c>
      <x:c r="M37" s="17" t="n">
        <x:v>0.0919478863353725</x:v>
      </x:c>
      <x:c r="N37" s="18" t="n">
        <x:v>0.005874934724807763</x:v>
      </x:c>
      <x:c r="O37" s="27" t="n">
        <x:f>IF(G37=0,P37,IFERROR(N37/G37,""))</x:f>
        <x:v>0.05874934724807763</x:v>
      </x:c>
      <x:c r="P37" s="27" t="n">
        <x:v>0.058019244455988335</x:v>
      </x:c>
      <x:c r="Q37" s="17" t="n">
        <x:v>3.860928785812088</x:v>
      </x:c>
      <x:c r="R37" s="17" t="n">
        <x:v>3.860928785812087</x:v>
      </x:c>
      <x:c r="S37" s="14" t="str">
        <x:v>feasible_above_1p2</x:v>
      </x:c>
      <x:c r="T37" s="14" t="n">
        <x:v>0.7806810396391038</x:v>
      </x:c>
      <x:c r="U37" s="17" t="n">
        <x:v>0.025580975319980315</x:v>
      </x:c>
      <x:c r="V37" s="17" t="n">
        <x:v>55.000000000000014</x:v>
      </x:c>
      <x:c r="W37" s="17" t="n">
        <x:v>101.32500000000003</x:v>
      </x:c>
      <x:c r="X37" s="17" t="n">
        <x:v>162.17109347295582</x:v>
      </x:c>
      <x:c r="Y37" s="17" t="n">
        <x:v>162.04563720244826</x:v>
      </x:c>
      <x:c r="Z37" s="17" t="n">
        <x:v>162.0456372024483</x:v>
      </x:c>
      <x:c r="AA37" s="17" t="n">
        <x:v>156.325</x:v>
      </x:c>
      <x:c r="AB37" s="17" t="n">
        <x:v>156.32500000000002</x:v>
      </x:c>
      <x:c r="AC37" s="14" t="n">
        <x:v>0.14529633086012408</x:v>
      </x:c>
      <x:c r="AD37" s="17" t="n">
        <x:v>20.68186407676523</x:v>
      </x:c>
      <x:c r="AE37" s="19" t="n">
        <x:v>23.680743035475246</x:v>
      </x:c>
      <x:c r="AF37" s="19" t="n">
        <x:v>6.163616339316057</x:v>
      </x:c>
      <x:c r="AG37" s="17" t="n">
        <x:v>0.6838218095451506</x:v>
      </x:c>
      <x:c r="AH37" s="14" t="n">
        <x:v>0</x:v>
      </x:c>
      <x:c r="AI37" s="14" t="n">
        <x:v>0</x:v>
      </x:c>
      <x:c r="AJ37" s="14" t="str">
        <x:v>gas_phase_noncondensing</x:v>
      </x:c>
      <x:c r="AK37" s="14" t="n">
        <x:v>0.7158910563740144</x:v>
      </x:c>
      <x:c r="AL37" s="14" t="n">
        <x:v>0</x:v>
      </x:c>
      <x:c r="AM37" s="14" t="str">
        <x:v>gas_phase_noncondensing</x:v>
      </x:c>
      <x:c r="AN37" s="14"/>
      <x:c r="AO37" s="14"/>
      <x:c r="AP37" s="14" t="str">
        <x:v>not_applicable_ideal_connection</x:v>
      </x:c>
      <x:c r="AQ37" s="14" t="str">
        <x:v>within_control_tolerance</x:v>
      </x:c>
      <x:c r="AR37" s="14" t="str">
        <x:v>candidate_feasible_gas_phase_screen</x:v>
      </x:c>
      <x:c r="AS37" s="14" t="str"/>
      <x:c r="AT37" s="14" t="n">
        <x:f t="shared" si="0">IFERROR(MAX(0,AG37-1)*100,"")</x:f>
        <x:v>0</x:v>
      </x:c>
      <x:c r="AU37" s="14" t="n">
        <x:f t="shared" si="1">IFERROR(AH37*1000000,"")</x:f>
        <x:v>0</x:v>
      </x:c>
      <x:c r="AV37" s="14" t="n">
        <x:f t="shared" si="2">IFERROR(AI37*1000000,"")</x:f>
        <x:v>0</x:v>
      </x:c>
      <x:c r="AW37" s="14" t="n">
        <x:f t="shared" si="3">IFERROR((AB37-AA37)*1000,"")</x:f>
        <x:v>2.8421709430404007e-11</x:v>
      </x:c>
      <x:c r="AX37"/>
      <x:c r="AY37" s="57" t="n">
        <x:v>156.325</x:v>
      </x:c>
      <x:c r="AZ37" s="57" t="n">
        <x:v>156.325</x:v>
      </x:c>
      <x:c r="BA37" s="57" t="n">
        <x:v>101.32500000000003</x:v>
      </x:c>
      <x:c r="BB37" s="57" t="n">
        <x:f>IFERROR(AZ37-BA37,"")</x:f>
        <x:v>54.99999999999996</x:v>
      </x:c>
      <x:c r="BC37" s="57" t="n">
        <x:f>IFERROR(AY37-BH37,"")</x:f>
        <x:v>54.999999999999986</x:v>
      </x:c>
      <x:c r="BD37" s="57" t="n">
        <x:f>IFERROR(AB37-W37,"")</x:f>
        <x:v>54.999999999999986</x:v>
      </x:c>
      <x:c r="BE37" s="57" t="n">
        <x:f>IFERROR(AB37-AY37,"")</x:f>
        <x:v>2.842170943040401e-14</x:v>
      </x:c>
      <x:c r="BF37" s="57" t="n">
        <x:f>IFERROR(AY37-AZ37,"")</x:f>
        <x:v>0</x:v>
      </x:c>
      <x:c r="BG37" s="57" t="n">
        <x:f>IFERROR(BA37-W37,"")</x:f>
        <x:v>0</x:v>
      </x:c>
      <x:c r="BH37" s="57" t="n">
        <x:v>101.325</x:v>
      </x:c>
      <x:c r="BI37" s="56" t="str">
        <x:v>RouteA_Focused_External240kW_VSH_PassiveCEGR_fresh_air_fixed_4J_600s_20260820.mat</x:v>
      </x:c>
      <x:c r="BJ37" s="56" t="str">
        <x:v>压力：kPa abs；压差/等式偏差：kPa；流量：kg/s</x:v>
      </x:c>
      <x:c r="BK37" s="56" t="str">
        <x:v>p_stack_out=cathode outlet chamber; p_split=ideal tee; p_EGR_up/down=cEGR valve ports; p_comp_in=compressor inlet mixer; p_ambient=environment reservoir</x:v>
      </x:c>
      <x:c r="BL37" s="56" t="str"/>
      <x:c r="BM37" s="56"/>
    </x:row>
    <x:row r="38">
      <x:c r="A38" s="14" t="str">
        <x:v>新鲜空气不变</x:v>
      </x:c>
      <x:c r="B38" s="14" t="str">
        <x:v>external240_fresh_air_fixed_j0p2_R0p500</x:v>
      </x:c>
      <x:c r="C38" s="15" t="b">
        <x:v>1</x:v>
      </x:c>
      <x:c r="D38" s="15" t="b">
        <x:v>1</x:v>
      </x:c>
      <x:c r="E38" s="16" t="n">
        <x:v>0.2</x:v>
      </x:c>
      <x:c r="F38" s="16" t="n">
        <x:v>3.6</x:v>
      </x:c>
      <x:c r="G38" s="17" t="n">
        <x:v>0.5</x:v>
      </x:c>
      <x:c r="H38" s="17" t="n">
        <x:v>0.5000000845543066</x:v>
      </x:c>
      <x:c r="I38" s="17" t="n">
        <x:v>8.455430655640583e-8</x:v>
      </x:c>
      <x:c r="J38" s="17" t="n">
        <x:v>0.025</x:v>
      </x:c>
      <x:c r="K38" s="17" t="n">
        <x:v>0.3333333333333333</x:v>
      </x:c>
      <x:c r="L38" s="17" t="n">
        <x:v>0.3333333709130164</x:v>
      </x:c>
      <x:c r="M38" s="17" t="n">
        <x:v>0.33619820346582363</x:v>
      </x:c>
      <x:c r="N38" s="18" t="n">
        <x:v>0.029374678559510495</x:v>
      </x:c>
      <x:c r="O38" s="27" t="n">
        <x:f>IF(G38=0,P38,IFERROR(N38/G38,""))</x:f>
        <x:v>0.05874935711902099</x:v>
      </x:c>
      <x:c r="P38" s="27" t="n">
        <x:v>0.057998419382985174</x:v>
      </x:c>
      <x:c r="Q38" s="17" t="n">
        <x:v>4.9136266975922736</x:v>
      </x:c>
      <x:c r="R38" s="17" t="n">
        <x:v>4.913626201492194</x:v>
      </x:c>
      <x:c r="S38" s="14" t="str">
        <x:v>feasible_above_1p2</x:v>
      </x:c>
      <x:c r="T38" s="14" t="n">
        <x:v>0.7808281957154191</x:v>
      </x:c>
      <x:c r="U38" s="17" t="n">
        <x:v>0.12404209654197665</x:v>
      </x:c>
      <x:c r="V38" s="17" t="n">
        <x:v>55.00000002312356</x:v>
      </x:c>
      <x:c r="W38" s="17" t="n">
        <x:v>101.32500000000002</x:v>
      </x:c>
      <x:c r="X38" s="17" t="n">
        <x:v>164.6349449380974</x:v>
      </x:c>
      <x:c r="Y38" s="17" t="n">
        <x:v>164.40166059939713</x:v>
      </x:c>
      <x:c r="Z38" s="17" t="n">
        <x:v>164.4016605993972</x:v>
      </x:c>
      <x:c r="AA38" s="17" t="n">
        <x:v>156.325</x:v>
      </x:c>
      <x:c r="AB38" s="17" t="n">
        <x:v>156.3250000231236</x:v>
      </x:c>
      <x:c r="AC38" s="14" t="n">
        <x:v>0.3055221943785077</x:v>
      </x:c>
      <x:c r="AD38" s="17" t="n">
        <x:v>19.115668640857674</x:v>
      </x:c>
      <x:c r="AE38" s="19" t="n">
        <x:v>33.93988407875338</x:v>
      </x:c>
      <x:c r="AF38" s="19" t="n">
        <x:v>4.2136280191970386</x:v>
      </x:c>
      <x:c r="AG38" s="17" t="n">
        <x:v>0.7877125770212768</x:v>
      </x:c>
      <x:c r="AH38" s="14" t="n">
        <x:v>0</x:v>
      </x:c>
      <x:c r="AI38" s="14" t="n">
        <x:v>0</x:v>
      </x:c>
      <x:c r="AJ38" s="14" t="str">
        <x:v>gas_phase_noncondensing</x:v>
      </x:c>
      <x:c r="AK38" s="14" t="n">
        <x:v>0.721157529239662</x:v>
      </x:c>
      <x:c r="AL38" s="14" t="n">
        <x:v>0</x:v>
      </x:c>
      <x:c r="AM38" s="14" t="str">
        <x:v>gas_phase_noncondensing</x:v>
      </x:c>
      <x:c r="AN38" s="14"/>
      <x:c r="AO38" s="14"/>
      <x:c r="AP38" s="14" t="str">
        <x:v>not_applicable_ideal_connection</x:v>
      </x:c>
      <x:c r="AQ38" s="14" t="str">
        <x:v>within_control_tolerance</x:v>
      </x:c>
      <x:c r="AR38" s="14" t="str">
        <x:v>candidate_feasible_gas_phase_screen</x:v>
      </x:c>
      <x:c r="AS38" s="14" t="str"/>
      <x:c r="AT38" s="14" t="n">
        <x:f t="shared" ref="AT38:AT56" si="4">IFERROR(MAX(0,AG38-1)*100,"")</x:f>
        <x:v>0</x:v>
      </x:c>
      <x:c r="AU38" s="14" t="n">
        <x:f t="shared" ref="AU38:AU56" si="5">IFERROR(AH38*1000000,"")</x:f>
        <x:v>0</x:v>
      </x:c>
      <x:c r="AV38" s="14" t="n">
        <x:f t="shared" ref="AV38:AV56" si="6">IFERROR(AI38*1000000,"")</x:f>
        <x:v>0</x:v>
      </x:c>
      <x:c r="AW38" s="14" t="n">
        <x:f t="shared" ref="AW38:AW56" si="7">IFERROR((AB38-AA38)*1000,"")</x:f>
        <x:v>0.000023123618575482396</x:v>
      </x:c>
      <x:c r="AX38"/>
      <x:c r="AY38" s="57" t="n">
        <x:v>156.32500002312355</x:v>
      </x:c>
      <x:c r="AZ38" s="57" t="n">
        <x:v>156.32500002312355</x:v>
      </x:c>
      <x:c r="BA38" s="57" t="n">
        <x:v>101.32500000000002</x:v>
      </x:c>
      <x:c r="BB38" s="57" t="n">
        <x:f>IFERROR(AZ38-BA38,"")</x:f>
        <x:v>55.00000002312353</x:v>
      </x:c>
      <x:c r="BC38" s="57" t="n">
        <x:f>IFERROR(AY38-BH38,"")</x:f>
        <x:v>55.00000002312355</x:v>
      </x:c>
      <x:c r="BD38" s="57" t="n">
        <x:f>IFERROR(AB38-W38,"")</x:f>
        <x:v>55.00000002312359</x:v>
      </x:c>
      <x:c r="BE38" s="57" t="n">
        <x:f>IFERROR(AB38-AY38,"")</x:f>
        <x:v>5.684341886080802e-14</x:v>
      </x:c>
      <x:c r="BF38" s="57" t="n">
        <x:f>IFERROR(AY38-AZ38,"")</x:f>
        <x:v>0</x:v>
      </x:c>
      <x:c r="BG38" s="57" t="n">
        <x:f>IFERROR(BA38-W38,"")</x:f>
        <x:v>0</x:v>
      </x:c>
      <x:c r="BH38" s="57" t="n">
        <x:v>101.325</x:v>
      </x:c>
      <x:c r="BI38" s="56" t="str">
        <x:v>RouteA_Focused_External240kW_VSH_PassiveCEGR_fresh_air_fixed_4J_600s_20260820.mat</x:v>
      </x:c>
      <x:c r="BJ38" s="56" t="str">
        <x:v>压力：kPa abs；压差/等式偏差：kPa；流量：kg/s</x:v>
      </x:c>
      <x:c r="BK38" s="56" t="str">
        <x:v>p_stack_out=cathode outlet chamber; p_split=ideal tee; p_EGR_up/down=cEGR valve ports; p_comp_in=compressor inlet mixer; p_ambient=environment reservoir</x:v>
      </x:c>
      <x:c r="BL38" s="56" t="str"/>
      <x:c r="BM38" s="56"/>
    </x:row>
    <x:row r="39">
      <x:c r="A39" s="14" t="str">
        <x:v>新鲜空气不变</x:v>
      </x:c>
      <x:c r="B39" s="14" t="str">
        <x:v>external240_fresh_air_fixed_j0p2_R1p000</x:v>
      </x:c>
      <x:c r="C39" s="15" t="b">
        <x:v>1</x:v>
      </x:c>
      <x:c r="D39" s="15" t="b">
        <x:v>1</x:v>
      </x:c>
      <x:c r="E39" s="16" t="n">
        <x:v>0.2</x:v>
      </x:c>
      <x:c r="F39" s="16" t="n">
        <x:v>3.6</x:v>
      </x:c>
      <x:c r="G39" s="17" t="n">
        <x:v>1</x:v>
      </x:c>
      <x:c r="H39" s="17" t="n">
        <x:v>0.9999999634711686</x:v>
      </x:c>
      <x:c r="I39" s="17" t="n">
        <x:v>-3.6528831404147866e-8</x:v>
      </x:c>
      <x:c r="J39" s="17" t="n">
        <x:v>0.05</x:v>
      </x:c>
      <x:c r="K39" s="17" t="n">
        <x:v>0.5</x:v>
      </x:c>
      <x:c r="L39" s="17" t="n">
        <x:v>0.499999990867792</x:v>
      </x:c>
      <x:c r="M39" s="17" t="n">
        <x:v>0.5033121657256729</x:v>
      </x:c>
      <x:c r="N39" s="18" t="n">
        <x:v>0.05874934495187015</x:v>
      </x:c>
      <x:c r="O39" s="27" t="n">
        <x:f>IF(G39=0,P39,IFERROR(N39/G39,""))</x:f>
        <x:v>0.05874934495187015</x:v>
      </x:c>
      <x:c r="P39" s="27" t="n">
        <x:v>0.057976116804385296</x:v>
      </x:c>
      <x:c r="Q39" s="17" t="n">
        <x:v>6.230392715469459</x:v>
      </x:c>
      <x:c r="R39" s="17" t="n">
        <x:v>6.230392585119204</x:v>
      </x:c>
      <x:c r="S39" s="14" t="str">
        <x:v>feasible_above_1p2</x:v>
      </x:c>
      <x:c r="T39" s="14" t="n">
        <x:v>0.7809315320563676</x:v>
      </x:c>
      <x:c r="U39" s="17" t="n">
        <x:v>0.2483416683420409</x:v>
      </x:c>
      <x:c r="V39" s="17" t="n">
        <x:v>55.000000004391865</x:v>
      </x:c>
      <x:c r="W39" s="17" t="n">
        <x:v>101.32500000000003</x:v>
      </x:c>
      <x:c r="X39" s="17" t="n">
        <x:v>168.07883361395028</x:v>
      </x:c>
      <x:c r="Y39" s="17" t="n">
        <x:v>167.66410792128065</x:v>
      </x:c>
      <x:c r="Z39" s="17" t="n">
        <x:v>167.66410792128067</x:v>
      </x:c>
      <x:c r="AA39" s="17" t="n">
        <x:v>156.325</x:v>
      </x:c>
      <x:c r="AB39" s="17" t="n">
        <x:v>156.32500000439188</x:v>
      </x:c>
      <x:c r="AC39" s="14" t="n">
        <x:v>0.4152601885530705</x:v>
      </x:c>
      <x:c r="AD39" s="17" t="n">
        <x:v>18.060222770316862</x:v>
      </x:c>
      <x:c r="AE39" s="19" t="n">
        <x:v>40.54930708089802</x:v>
      </x:c>
      <x:c r="AF39" s="19" t="n">
        <x:v>5.531884113094321</x:v>
      </x:c>
      <x:c r="AG39" s="17" t="n">
        <x:v>0.7409430503333759</x:v>
      </x:c>
      <x:c r="AH39" s="14" t="n">
        <x:v>0</x:v>
      </x:c>
      <x:c r="AI39" s="14" t="n">
        <x:v>0</x:v>
      </x:c>
      <x:c r="AJ39" s="14" t="str">
        <x:v>gas_phase_noncondensing</x:v>
      </x:c>
      <x:c r="AK39" s="14" t="n">
        <x:v>0.7265328805402144</x:v>
      </x:c>
      <x:c r="AL39" s="14" t="n">
        <x:v>0</x:v>
      </x:c>
      <x:c r="AM39" s="14" t="str">
        <x:v>gas_phase_noncondensing</x:v>
      </x:c>
      <x:c r="AN39" s="14"/>
      <x:c r="AO39" s="14"/>
      <x:c r="AP39" s="14" t="str">
        <x:v>not_applicable_ideal_connection</x:v>
      </x:c>
      <x:c r="AQ39" s="14" t="str">
        <x:v>within_control_tolerance</x:v>
      </x:c>
      <x:c r="AR39" s="14" t="str">
        <x:v>candidate_feasible_gas_phase_screen</x:v>
      </x:c>
      <x:c r="AS39" s="14" t="str"/>
      <x:c r="AT39" s="14" t="n">
        <x:f t="shared" si="4">IFERROR(MAX(0,AG39-1)*100,"")</x:f>
        <x:v>0</x:v>
      </x:c>
      <x:c r="AU39" s="14" t="n">
        <x:f t="shared" si="5">IFERROR(AH39*1000000,"")</x:f>
        <x:v>0</x:v>
      </x:c>
      <x:c r="AV39" s="14" t="n">
        <x:f t="shared" si="6">IFERROR(AI39*1000000,"")</x:f>
        <x:v>0</x:v>
      </x:c>
      <x:c r="AW39" s="14" t="n">
        <x:f t="shared" si="7">IFERROR((AB39-AA39)*1000,"")</x:f>
        <x:v>0.00000439189307144261</x:v>
      </x:c>
      <x:c r="AX39"/>
      <x:c r="AY39" s="57" t="n">
        <x:v>156.32500000439188</x:v>
      </x:c>
      <x:c r="AZ39" s="57" t="n">
        <x:v>156.32500000439188</x:v>
      </x:c>
      <x:c r="BA39" s="57" t="n">
        <x:v>101.32500000000003</x:v>
      </x:c>
      <x:c r="BB39" s="57" t="n">
        <x:f>IFERROR(AZ39-BA39,"")</x:f>
        <x:v>55.00000000439185</x:v>
      </x:c>
      <x:c r="BC39" s="57" t="n">
        <x:f>IFERROR(AY39-BH39,"")</x:f>
        <x:v>55.00000000439188</x:v>
      </x:c>
      <x:c r="BD39" s="57" t="n">
        <x:f>IFERROR(AB39-W39,"")</x:f>
        <x:v>55.00000000439185</x:v>
      </x:c>
      <x:c r="BE39" s="57" t="n">
        <x:f>IFERROR(AB39-AY39,"")</x:f>
        <x:v>0</x:v>
      </x:c>
      <x:c r="BF39" s="57" t="n">
        <x:f>IFERROR(AY39-AZ39,"")</x:f>
        <x:v>0</x:v>
      </x:c>
      <x:c r="BG39" s="57" t="n">
        <x:f>IFERROR(BA39-W39,"")</x:f>
        <x:v>0</x:v>
      </x:c>
      <x:c r="BH39" s="57" t="n">
        <x:v>101.325</x:v>
      </x:c>
      <x:c r="BI39" s="56" t="str">
        <x:v>RouteA_Focused_External240kW_VSH_PassiveCEGR_fresh_air_fixed_4J_600s_20260820.mat</x:v>
      </x:c>
      <x:c r="BJ39" s="56" t="str">
        <x:v>压力：kPa abs；压差/等式偏差：kPa；流量：kg/s</x:v>
      </x:c>
      <x:c r="BK39" s="56" t="str">
        <x:v>p_stack_out=cathode outlet chamber; p_split=ideal tee; p_EGR_up/down=cEGR valve ports; p_comp_in=compressor inlet mixer; p_ambient=environment reservoir</x:v>
      </x:c>
      <x:c r="BL39" s="56" t="str"/>
      <x:c r="BM39" s="56"/>
    </x:row>
    <x:row r="40">
      <x:c r="A40" s="14" t="str">
        <x:v>新鲜空气不变</x:v>
      </x:c>
      <x:c r="B40" s="14" t="str">
        <x:v>external240_fresh_air_fixed_j0p2_R2p000</x:v>
      </x:c>
      <x:c r="C40" s="15" t="b">
        <x:v>1</x:v>
      </x:c>
      <x:c r="D40" s="15" t="b">
        <x:v>1</x:v>
      </x:c>
      <x:c r="E40" s="16" t="n">
        <x:v>0.2</x:v>
      </x:c>
      <x:c r="F40" s="16" t="n">
        <x:v>3.6</x:v>
      </x:c>
      <x:c r="G40" s="17" t="n">
        <x:v>2</x:v>
      </x:c>
      <x:c r="H40" s="17" t="n">
        <x:v>1.9997580798946706</x:v>
      </x:c>
      <x:c r="I40" s="17" t="n">
        <x:v>-0.00024192010532941843</x:v>
      </x:c>
      <x:c r="J40" s="17" t="n">
        <x:v>0.1</x:v>
      </x:c>
      <x:c r="K40" s="17" t="n">
        <x:v>0.6666666666666666</x:v>
      </x:c>
      <x:c r="L40" s="17" t="n">
        <x:v>0.6666397843159276</x:v>
      </x:c>
      <x:c r="M40" s="17" t="n">
        <x:v>0.6697463692085582</x:v>
      </x:c>
      <x:c r="N40" s="18" t="n">
        <x:v>0.11748479811050973</x:v>
      </x:c>
      <x:c r="O40" s="27" t="n">
        <x:f>IF(G40=0,P40,IFERROR(N40/G40,""))</x:f>
        <x:v>0.058742399055254864</x:v>
      </x:c>
      <x:c r="P40" s="27" t="n">
        <x:v>0.057932051478898204</x:v>
      </x:c>
      <x:c r="Q40" s="17" t="n">
        <x:v>8.866247005398119</x:v>
      </x:c>
      <x:c r="R40" s="17" t="n">
        <x:v>8.865880365816928</x:v>
      </x:c>
      <x:c r="S40" s="14" t="str">
        <x:v>feasible_above_1p2</x:v>
      </x:c>
      <x:c r="T40" s="14" t="n">
        <x:v>0.781033381527928</x:v>
      </x:c>
      <x:c r="U40" s="17" t="n">
        <x:v>0.4983307606235105</x:v>
      </x:c>
      <x:c r="V40" s="17" t="n">
        <x:v>55.00000481561275</x:v>
      </x:c>
      <x:c r="W40" s="17" t="n">
        <x:v>101.32500000000002</x:v>
      </x:c>
      <x:c r="X40" s="17" t="n">
        <x:v>176.46552196477882</x:v>
      </x:c>
      <x:c r="Y40" s="17" t="n">
        <x:v>175.53254618852543</x:v>
      </x:c>
      <x:c r="Z40" s="17" t="n">
        <x:v>175.53254618852546</x:v>
      </x:c>
      <x:c r="AA40" s="17" t="n">
        <x:v>156.325</x:v>
      </x:c>
      <x:c r="AB40" s="17" t="n">
        <x:v>156.32500481561277</x:v>
      </x:c>
      <x:c r="AC40" s="14" t="n">
        <x:v>0.5273580390750809</x:v>
      </x:c>
      <x:c r="AD40" s="17" t="n">
        <x:v>17.02692488514269</x:v>
      </x:c>
      <x:c r="AE40" s="19" t="n">
        <x:v>46.16158333198143</x:v>
      </x:c>
      <x:c r="AF40" s="19" t="n">
        <x:v>7.08129797021715</x:v>
      </x:c>
      <x:c r="AG40" s="17" t="n">
        <x:v>0.6903352777516418</x:v>
      </x:c>
      <x:c r="AH40" s="14" t="n">
        <x:v>0</x:v>
      </x:c>
      <x:c r="AI40" s="14" t="n">
        <x:v>0</x:v>
      </x:c>
      <x:c r="AJ40" s="14" t="str">
        <x:v>gas_phase_noncondensing</x:v>
      </x:c>
      <x:c r="AK40" s="14" t="n">
        <x:v>0.7364463423827793</x:v>
      </x:c>
      <x:c r="AL40" s="14" t="n">
        <x:v>0</x:v>
      </x:c>
      <x:c r="AM40" s="14" t="str">
        <x:v>gas_phase_noncondensing</x:v>
      </x:c>
      <x:c r="AN40" s="14"/>
      <x:c r="AO40" s="14"/>
      <x:c r="AP40" s="14" t="str">
        <x:v>not_applicable_ideal_connection</x:v>
      </x:c>
      <x:c r="AQ40" s="14" t="str">
        <x:v>within_control_tolerance</x:v>
      </x:c>
      <x:c r="AR40" s="14" t="str">
        <x:v>candidate_feasible_gas_phase_screen</x:v>
      </x:c>
      <x:c r="AS40" s="14" t="str"/>
      <x:c r="AT40" s="14" t="n">
        <x:f t="shared" si="4">IFERROR(MAX(0,AG40-1)*100,"")</x:f>
        <x:v>0</x:v>
      </x:c>
      <x:c r="AU40" s="14" t="n">
        <x:f t="shared" si="5">IFERROR(AH40*1000000,"")</x:f>
        <x:v>0</x:v>
      </x:c>
      <x:c r="AV40" s="14" t="n">
        <x:f t="shared" si="6">IFERROR(AI40*1000000,"")</x:f>
        <x:v>0</x:v>
      </x:c>
      <x:c r="AW40" s="14" t="n">
        <x:f t="shared" si="7">IFERROR((AB40-AA40)*1000,"")</x:f>
        <x:v>0.004815612783204415</x:v>
      </x:c>
      <x:c r="AX40"/>
      <x:c r="AY40" s="57" t="n">
        <x:v>156.32500481561271</x:v>
      </x:c>
      <x:c r="AZ40" s="57" t="n">
        <x:v>156.32500481561271</x:v>
      </x:c>
      <x:c r="BA40" s="57" t="n">
        <x:v>101.32500000000002</x:v>
      </x:c>
      <x:c r="BB40" s="57" t="n">
        <x:f>IFERROR(AZ40-BA40,"")</x:f>
        <x:v>55.0000048156127</x:v>
      </x:c>
      <x:c r="BC40" s="57" t="n">
        <x:f>IFERROR(AY40-BH40,"")</x:f>
        <x:v>55.00000481561271</x:v>
      </x:c>
      <x:c r="BD40" s="57" t="n">
        <x:f>IFERROR(AB40-W40,"")</x:f>
        <x:v>55.000004815612755</x:v>
      </x:c>
      <x:c r="BE40" s="57" t="n">
        <x:f>IFERROR(AB40-AY40,"")</x:f>
        <x:v>5.684341886080802e-14</x:v>
      </x:c>
      <x:c r="BF40" s="57" t="n">
        <x:f>IFERROR(AY40-AZ40,"")</x:f>
        <x:v>0</x:v>
      </x:c>
      <x:c r="BG40" s="57" t="n">
        <x:f>IFERROR(BA40-W40,"")</x:f>
        <x:v>0</x:v>
      </x:c>
      <x:c r="BH40" s="57" t="n">
        <x:v>101.325</x:v>
      </x:c>
      <x:c r="BI40" s="56" t="str">
        <x:v>RouteA_Focused_External240kW_VSH_PassiveCEGR_fresh_air_fixed_4J_600s_20260820.mat</x:v>
      </x:c>
      <x:c r="BJ40" s="56" t="str">
        <x:v>压力：kPa abs；压差/等式偏差：kPa；流量：kg/s</x:v>
      </x:c>
      <x:c r="BK40" s="56" t="str">
        <x:v>p_stack_out=cathode outlet chamber; p_split=ideal tee; p_EGR_up/down=cEGR valve ports; p_comp_in=compressor inlet mixer; p_ambient=environment reservoir</x:v>
      </x:c>
      <x:c r="BL40" s="56" t="str"/>
      <x:c r="BM40" s="56"/>
    </x:row>
    <x:row r="41">
      <x:c r="A41" s="14" t="str">
        <x:v>新鲜空气不变</x:v>
      </x:c>
      <x:c r="B41" s="14" t="str">
        <x:v>external240_fresh_air_fixed_j0p2_R4p000</x:v>
      </x:c>
      <x:c r="C41" s="15" t="b">
        <x:v>1</x:v>
      </x:c>
      <x:c r="D41" s="15" t="b">
        <x:v>1</x:v>
      </x:c>
      <x:c r="E41" s="16" t="n">
        <x:v>0.2</x:v>
      </x:c>
      <x:c r="F41" s="16" t="n">
        <x:v>3.6</x:v>
      </x:c>
      <x:c r="G41" s="17" t="n">
        <x:v>4</x:v>
      </x:c>
      <x:c r="H41" s="17" t="n">
        <x:v>3.9369317674030153</x:v>
      </x:c>
      <x:c r="I41" s="17" t="n">
        <x:v>-0.06306823259698469</x:v>
      </x:c>
      <x:c r="J41" s="17" t="n">
        <x:v>0.2</x:v>
      </x:c>
      <x:c r="K41" s="17" t="n">
        <x:v>0.8</x:v>
      </x:c>
      <x:c r="L41" s="17" t="n">
        <x:v>0.7974445779726884</x:v>
      </x:c>
      <x:c r="M41" s="17" t="n">
        <x:v>0.8000334707087337</x:v>
      </x:c>
      <x:c r="N41" s="18" t="n">
        <x:v>0.23124147038071152</x:v>
      </x:c>
      <x:c r="O41" s="27" t="n">
        <x:f>IF(G41=0,P41,IFERROR(N41/G41,""))</x:f>
        <x:v>0.05781036759517788</x:v>
      </x:c>
      <x:c r="P41" s="27" t="n">
        <x:v>0.05779827463878042</x:v>
      </x:c>
      <x:c r="Q41" s="17" t="n">
        <x:v>13.988580196575857</x:v>
      </x:c>
      <x:c r="R41" s="17" t="n">
        <x:v>13.95169180592406</x:v>
      </x:c>
      <x:c r="S41" s="14" t="str">
        <x:v>feasible_above_1p2</x:v>
      </x:c>
      <x:c r="T41" s="14" t="n">
        <x:v>0.7812499364401377</x:v>
      </x:c>
      <x:c r="U41" s="17" t="n">
        <x:v>0.961989916520663</x:v>
      </x:c>
      <x:c r="V41" s="17" t="n">
        <x:v>55.00009016211073</x:v>
      </x:c>
      <x:c r="W41" s="17" t="n">
        <x:v>101.32500000000002</x:v>
      </x:c>
      <x:c r="X41" s="17" t="n">
        <x:v>199.57512878474415</x:v>
      </x:c>
      <x:c r="Y41" s="17" t="n">
        <x:v>197.04876985558826</x:v>
      </x:c>
      <x:c r="Z41" s="17" t="n">
        <x:v>197.0487698555883</x:v>
      </x:c>
      <x:c r="AA41" s="17" t="n">
        <x:v>156.325</x:v>
      </x:c>
      <x:c r="AB41" s="17" t="n">
        <x:v>156.32509016211077</x:v>
      </x:c>
      <x:c r="AC41" s="14" t="n">
        <x:v>0.6313058844140131</x:v>
      </x:c>
      <x:c r="AD41" s="17" t="n">
        <x:v>16.2528540392269</x:v>
      </x:c>
      <x:c r="AE41" s="19" t="n">
        <x:v>47.194091638838074</x:v>
      </x:c>
      <x:c r="AF41" s="19" t="n">
        <x:v>5.741125235265386</x:v>
      </x:c>
      <x:c r="AG41" s="17" t="n">
        <x:v>0.7432017771751607</x:v>
      </x:c>
      <x:c r="AH41" s="14" t="n">
        <x:v>0</x:v>
      </x:c>
      <x:c r="AI41" s="14" t="n">
        <x:v>0</x:v>
      </x:c>
      <x:c r="AJ41" s="14" t="str">
        <x:v>gas_phase_noncondensing</x:v>
      </x:c>
      <x:c r="AK41" s="14" t="n">
        <x:v>0.7634765743598396</x:v>
      </x:c>
      <x:c r="AL41" s="14" t="n">
        <x:v>0</x:v>
      </x:c>
      <x:c r="AM41" s="14" t="str">
        <x:v>gas_phase_noncondensing</x:v>
      </x:c>
      <x:c r="AN41" s="14"/>
      <x:c r="AO41" s="14"/>
      <x:c r="AP41" s="14" t="str">
        <x:v>not_applicable_ideal_connection</x:v>
      </x:c>
      <x:c r="AQ41" s="14" t="str">
        <x:v>within_control_tolerance</x:v>
      </x:c>
      <x:c r="AR41" s="14" t="str">
        <x:v>candidate_feasible_gas_phase_screen</x:v>
      </x:c>
      <x:c r="AS41" s="14" t="str"/>
      <x:c r="AT41" s="14" t="n">
        <x:f t="shared" si="4">IFERROR(MAX(0,AG41-1)*100,"")</x:f>
        <x:v>0</x:v>
      </x:c>
      <x:c r="AU41" s="14" t="n">
        <x:f t="shared" si="5">IFERROR(AH41*1000000,"")</x:f>
        <x:v>0</x:v>
      </x:c>
      <x:c r="AV41" s="14" t="n">
        <x:f t="shared" si="6">IFERROR(AI41*1000000,"")</x:f>
        <x:v>0</x:v>
      </x:c>
      <x:c r="AW41" s="14" t="n">
        <x:f t="shared" si="7">IFERROR((AB41-AA41)*1000,"")</x:f>
        <x:v>0.09016211078005654</x:v>
      </x:c>
      <x:c r="AX41"/>
      <x:c r="AY41" s="57" t="n">
        <x:v>156.32509016211074</x:v>
      </x:c>
      <x:c r="AZ41" s="57" t="n">
        <x:v>156.32509016211074</x:v>
      </x:c>
      <x:c r="BA41" s="57" t="n">
        <x:v>101.32500000000002</x:v>
      </x:c>
      <x:c r="BB41" s="57" t="n">
        <x:f>IFERROR(AZ41-BA41,"")</x:f>
        <x:v>55.00009016211072</x:v>
      </x:c>
      <x:c r="BC41" s="57" t="n">
        <x:f>IFERROR(AY41-BH41,"")</x:f>
        <x:v>55.00009016211074</x:v>
      </x:c>
      <x:c r="BD41" s="57" t="n">
        <x:f>IFERROR(AB41-W41,"")</x:f>
        <x:v>55.00009016211075</x:v>
      </x:c>
      <x:c r="BE41" s="57" t="n">
        <x:f>IFERROR(AB41-AY41,"")</x:f>
        <x:v>2.842170943040401e-14</x:v>
      </x:c>
      <x:c r="BF41" s="57" t="n">
        <x:f>IFERROR(AY41-AZ41,"")</x:f>
        <x:v>0</x:v>
      </x:c>
      <x:c r="BG41" s="57" t="n">
        <x:f>IFERROR(BA41-W41,"")</x:f>
        <x:v>0</x:v>
      </x:c>
      <x:c r="BH41" s="57" t="n">
        <x:v>101.325</x:v>
      </x:c>
      <x:c r="BI41" s="56" t="str">
        <x:v>RouteA_Focused_External240kW_VSH_PassiveCEGR_fresh_air_fixed_4J_600s_20260820.mat</x:v>
      </x:c>
      <x:c r="BJ41" s="56" t="str">
        <x:v>压力：kPa abs；压差/等式偏差：kPa；流量：kg/s</x:v>
      </x:c>
      <x:c r="BK41" s="56" t="str">
        <x:v>p_stack_out=cathode outlet chamber; p_split=ideal tee; p_EGR_up/down=cEGR valve ports; p_comp_in=compressor inlet mixer; p_ambient=environment reservoir</x:v>
      </x:c>
      <x:c r="BL41" s="56" t="str"/>
      <x:c r="BM41" s="56"/>
    </x:row>
    <x:row r="42">
      <x:c r="A42" s="14" t="str">
        <x:v>新鲜空气不变</x:v>
      </x:c>
      <x:c r="B42" s="14" t="str">
        <x:v>external240_fresh_air_fixed_j0p2_R8p000</x:v>
      </x:c>
      <x:c r="C42" s="15" t="b">
        <x:v>1</x:v>
      </x:c>
      <x:c r="D42" s="15" t="b">
        <x:v>0</x:v>
      </x:c>
      <x:c r="E42" s="16" t="n">
        <x:v>0.2</x:v>
      </x:c>
      <x:c r="F42" s="16" t="n">
        <x:v>3.6</x:v>
      </x:c>
      <x:c r="G42" s="17" t="n">
        <x:v>8</x:v>
      </x:c>
      <x:c r="H42" s="17" t="n">
        <x:v>4.106014080356561</x:v>
      </x:c>
      <x:c r="I42" s="17" t="n">
        <x:v>-3.8939859196434394</x:v>
      </x:c>
      <x:c r="J42" s="17" t="n">
        <x:v>0.4</x:v>
      </x:c>
      <x:c r="K42" s="17" t="n">
        <x:v>0.8888888888888888</x:v>
      </x:c>
      <x:c r="L42" s="17" t="n">
        <x:v>0.8041525181359923</x:v>
      </x:c>
      <x:c r="M42" s="17" t="n">
        <x:v>0.806704991580723</x:v>
      </x:c>
      <x:c r="N42" s="18" t="n">
        <x:v>0.24122564701236363</x:v>
      </x:c>
      <x:c r="O42" s="27" t="n">
        <x:f>IF(G42=0,P42,IFERROR(N42/G42,""))</x:f>
        <x:v>0.030153205876545453</x:v>
      </x:c>
      <x:c r="P42" s="27" t="n">
        <x:v>0.05780020448222869</x:v>
      </x:c>
      <x:c r="Q42" s="17" t="n">
        <x:v>14.439935419732274</x:v>
      </x:c>
      <x:c r="R42" s="17" t="n">
        <x:v>14.439935419732262</x:v>
      </x:c>
      <x:c r="S42" s="14" t="str">
        <x:v>feasible_above_1p2</x:v>
      </x:c>
      <x:c r="T42" s="14" t="n">
        <x:v>0.7812804633679139</x:v>
      </x:c>
      <x:c r="U42" s="17" t="n">
        <x:v>1</x:v>
      </x:c>
      <x:c r="V42" s="17" t="n">
        <x:v>55.000000000000014</x:v>
      </x:c>
      <x:c r="W42" s="17" t="n">
        <x:v>101.32500000000002</x:v>
      </x:c>
      <x:c r="X42" s="17" t="n">
        <x:v>202.0720574718684</x:v>
      </x:c>
      <x:c r="Y42" s="17" t="n">
        <x:v>199.36895340369796</x:v>
      </x:c>
      <x:c r="Z42" s="17" t="n">
        <x:v>199.36895340369801</x:v>
      </x:c>
      <x:c r="AA42" s="17" t="n">
        <x:v>156.325</x:v>
      </x:c>
      <x:c r="AB42" s="17" t="n">
        <x:v>156.32500000000002</x:v>
      </x:c>
      <x:c r="AC42" s="14" t="n">
        <x:v>0.6382407983762832</x:v>
      </x:c>
      <x:c r="AD42" s="17" t="n">
        <x:v>16.217378266308923</x:v>
      </x:c>
      <x:c r="AE42" s="19" t="n">
        <x:v>46.98314580913774</x:v>
      </x:c>
      <x:c r="AF42" s="19" t="n">
        <x:v>5.446671216490415</x:v>
      </x:c>
      <x:c r="AG42" s="17" t="n">
        <x:v>0.7545204947632925</x:v>
      </x:c>
      <x:c r="AH42" s="14" t="n">
        <x:v>0</x:v>
      </x:c>
      <x:c r="AI42" s="14" t="n">
        <x:v>0</x:v>
      </x:c>
      <x:c r="AJ42" s="14" t="str">
        <x:v>gas_phase_noncondensing</x:v>
      </x:c>
      <x:c r="AK42" s="14" t="n">
        <x:v>0.7667388804319019</x:v>
      </x:c>
      <x:c r="AL42" s="14" t="n">
        <x:v>0</x:v>
      </x:c>
      <x:c r="AM42" s="14" t="str">
        <x:v>gas_phase_noncondensing</x:v>
      </x:c>
      <x:c r="AN42" s="14"/>
      <x:c r="AO42" s="14"/>
      <x:c r="AP42" s="14" t="str">
        <x:v>not_applicable_ideal_connection</x:v>
      </x:c>
      <x:c r="AQ42" s="14" t="str">
        <x:v>deviation_valve_area_saturated</x:v>
      </x:c>
      <x:c r="AR42" s="14" t="str">
        <x:v>requires_cegr_tracking_review</x:v>
      </x:c>
      <x:c r="AS42" s="14" t="str"/>
      <x:c r="AT42" s="14" t="n">
        <x:f t="shared" si="4">IFERROR(MAX(0,AG42-1)*100,"")</x:f>
        <x:v>0</x:v>
      </x:c>
      <x:c r="AU42" s="14" t="n">
        <x:f t="shared" si="5">IFERROR(AH42*1000000,"")</x:f>
        <x:v>0</x:v>
      </x:c>
      <x:c r="AV42" s="14" t="n">
        <x:f t="shared" si="6">IFERROR(AI42*1000000,"")</x:f>
        <x:v>0</x:v>
      </x:c>
      <x:c r="AW42" s="14" t="n">
        <x:f t="shared" si="7">IFERROR((AB42-AA42)*1000,"")</x:f>
        <x:v>2.8421709430404007e-11</x:v>
      </x:c>
      <x:c r="AX42" t="str">
        <x:v>valve_area</x:v>
      </x:c>
      <x:c r="AY42" s="57" t="n">
        <x:v>156.325</x:v>
      </x:c>
      <x:c r="AZ42" s="57" t="n">
        <x:v>156.325</x:v>
      </x:c>
      <x:c r="BA42" s="57" t="n">
        <x:v>101.32500000000002</x:v>
      </x:c>
      <x:c r="BB42" s="57" t="n">
        <x:f>IFERROR(AZ42-BA42,"")</x:f>
        <x:v>54.99999999999997</x:v>
      </x:c>
      <x:c r="BC42" s="57" t="n">
        <x:f>IFERROR(AY42-BH42,"")</x:f>
        <x:v>54.999999999999986</x:v>
      </x:c>
      <x:c r="BD42" s="57" t="n">
        <x:f>IFERROR(AB42-W42,"")</x:f>
        <x:v>55</x:v>
      </x:c>
      <x:c r="BE42" s="57" t="n">
        <x:f>IFERROR(AB42-AY42,"")</x:f>
        <x:v>2.842170943040401e-14</x:v>
      </x:c>
      <x:c r="BF42" s="57" t="n">
        <x:f>IFERROR(AY42-AZ42,"")</x:f>
        <x:v>0</x:v>
      </x:c>
      <x:c r="BG42" s="57" t="n">
        <x:f>IFERROR(BA42-W42,"")</x:f>
        <x:v>0</x:v>
      </x:c>
      <x:c r="BH42" s="57" t="n">
        <x:v>101.325</x:v>
      </x:c>
      <x:c r="BI42" s="56" t="str">
        <x:v>RouteA_Focused_External240kW_VSH_PassiveCEGR_fresh_air_fixed_4J_600s_20260820.mat</x:v>
      </x:c>
      <x:c r="BJ42" s="56" t="str">
        <x:v>压力：kPa abs；压差/等式偏差：kPa；流量：kg/s</x:v>
      </x:c>
      <x:c r="BK42" s="56" t="str">
        <x:v>p_stack_out=cathode outlet chamber; p_split=ideal tee; p_EGR_up/down=cEGR valve ports; p_comp_in=compressor inlet mixer; p_ambient=environment reservoir</x:v>
      </x:c>
      <x:c r="BL42" s="56" t="str">
        <x:v>valve_area</x:v>
      </x:c>
      <x:c r="BM42" s="56" t="str">
        <x:v>valve_area</x:v>
      </x:c>
    </x:row>
    <x:row r="43">
      <x:c r="A43" s="14" t="str">
        <x:v>新鲜空气不变</x:v>
      </x:c>
      <x:c r="B43" s="14" t="str">
        <x:v>external240_fresh_air_fixed_j0p4_R0p000</x:v>
      </x:c>
      <x:c r="C43" s="15" t="b">
        <x:v>1</x:v>
      </x:c>
      <x:c r="D43" s="15" t="b">
        <x:v>1</x:v>
      </x:c>
      <x:c r="E43" s="16" t="n">
        <x:v>0.4</x:v>
      </x:c>
      <x:c r="F43" s="16" t="n">
        <x:v>2.4</x:v>
      </x:c>
      <x:c r="G43" s="17" t="n">
        <x:v>0</x:v>
      </x:c>
      <x:c r="H43" s="17" t="n">
        <x:v>3.4442295152619923e-7</x:v>
      </x:c>
      <x:c r="I43" s="17" t="n">
        <x:v>3.4442295152619923e-7</x:v>
      </x:c>
      <x:c r="J43" s="17" t="n">
        <x:v>0.005</x:v>
      </x:c>
      <x:c r="K43" s="17" t="n">
        <x:v>0</x:v>
      </x:c>
      <x:c r="L43" s="17" t="n">
        <x:v>3.444228328990706e-7</x:v>
      </x:c>
      <x:c r="M43" s="17" t="n">
        <x:v>3.4759720392663814e-7</x:v>
      </x:c>
      <x:c r="N43" s="18" t="n">
        <x:v>2.697949810589398e-8</x:v>
      </x:c>
      <x:c r="O43" s="27" t="n">
        <x:f>IF(G43=0,P43,IFERROR(N43/G43,""))</x:f>
        <x:v>0.07761710515252018</x:v>
      </x:c>
      <x:c r="P43" s="27" t="n">
        <x:v>0.07761710515252018</x:v>
      </x:c>
      <x:c r="Q43" s="17" t="n">
        <x:v>2.3985740401981905</x:v>
      </x:c>
      <x:c r="R43" s="17" t="n">
        <x:v>2.39857404019819</x:v>
      </x:c>
      <x:c r="S43" s="14" t="str">
        <x:v>feasible_above_1p2</x:v>
      </x:c>
      <x:c r="T43" s="14" t="n">
        <x:v>0.7585315345182885</x:v>
      </x:c>
      <x:c r="U43" s="17" t="n">
        <x:v>9.999999999999997e-8</x:v>
      </x:c>
      <x:c r="V43" s="17" t="n">
        <x:v>70.00000000000001</x:v>
      </x:c>
      <x:c r="W43" s="17" t="n">
        <x:v>101.32500000000002</x:v>
      </x:c>
      <x:c r="X43" s="17" t="n">
        <x:v>178.5828293377358</x:v>
      </x:c>
      <x:c r="Y43" s="17" t="n">
        <x:v>178.3985052848407</x:v>
      </x:c>
      <x:c r="Z43" s="17" t="n">
        <x:v>178.39850528484075</x:v>
      </x:c>
      <x:c r="AA43" s="17" t="n">
        <x:v>171.32500000000002</x:v>
      </x:c>
      <x:c r="AB43" s="17" t="n">
        <x:v>171.32500000000007</x:v>
      </x:c>
      <x:c r="AC43" s="14" t="n">
        <x:v>0.08137161419192125</x:v>
      </x:c>
      <x:c r="AD43" s="17" t="n">
        <x:v>21.278163671912385</x:v>
      </x:c>
      <x:c r="AE43" s="19" t="n">
        <x:v>19.474729258580226</x:v>
      </x:c>
      <x:c r="AF43" s="19" t="n">
        <x:v>10.202163497403653</x:v>
      </x:c>
      <x:c r="AG43" s="17" t="n">
        <x:v>0.5166247511503476</x:v>
      </x:c>
      <x:c r="AH43" s="14" t="n">
        <x:v>0</x:v>
      </x:c>
      <x:c r="AI43" s="14" t="n">
        <x:v>0</x:v>
      </x:c>
      <x:c r="AJ43" s="14" t="str">
        <x:v>gas_phase_noncondensing</x:v>
      </x:c>
      <x:c r="AK43" s="14" t="n">
        <x:v>0.9995911387171841</x:v>
      </x:c>
      <x:c r="AL43" s="14" t="n">
        <x:v>0.000024682183324602184</x:v>
      </x:c>
      <x:c r="AM43" s="14" t="str">
        <x:v>condensing_or_supersaturated</x:v>
      </x:c>
      <x:c r="AN43" s="14"/>
      <x:c r="AO43" s="14"/>
      <x:c r="AP43" s="14" t="str">
        <x:v>not_applicable_ideal_connection</x:v>
      </x:c>
      <x:c r="AQ43" s="14" t="str">
        <x:v>not_applicable_zero_target</x:v>
      </x:c>
      <x:c r="AR43" s="14" t="str">
        <x:v>candidate_feasible_gas_phase_screen</x:v>
      </x:c>
      <x:c r="AS43" s="14" t="str"/>
      <x:c r="AT43" s="14" t="n">
        <x:f t="shared" si="4">IFERROR(MAX(0,AG43-1)*100,"")</x:f>
        <x:v>0</x:v>
      </x:c>
      <x:c r="AU43" s="14" t="n">
        <x:f t="shared" si="5">IFERROR(AH43*1000000,"")</x:f>
        <x:v>0</x:v>
      </x:c>
      <x:c r="AV43" s="14" t="n">
        <x:f t="shared" si="6">IFERROR(AI43*1000000,"")</x:f>
        <x:v>0</x:v>
      </x:c>
      <x:c r="AW43" s="14" t="n">
        <x:f t="shared" si="7">IFERROR((AB43-AA43)*1000,"")</x:f>
        <x:v>5.6843418860808015e-11</x:v>
      </x:c>
      <x:c r="AX43"/>
      <x:c r="AY43" s="57" t="n">
        <x:v>171.325</x:v>
      </x:c>
      <x:c r="AZ43" s="57" t="n">
        <x:v>171.325</x:v>
      </x:c>
      <x:c r="BA43" s="57" t="n">
        <x:v>101.32500000000002</x:v>
      </x:c>
      <x:c r="BB43" s="57" t="n">
        <x:f>IFERROR(AZ43-BA43,"")</x:f>
        <x:v>69.99999999999997</x:v>
      </x:c>
      <x:c r="BC43" s="57" t="n">
        <x:f>IFERROR(AY43-BH43,"")</x:f>
        <x:v>69.99999999999999</x:v>
      </x:c>
      <x:c r="BD43" s="57" t="n">
        <x:f>IFERROR(AB43-W43,"")</x:f>
        <x:v>70.00000000000006</x:v>
      </x:c>
      <x:c r="BE43" s="57" t="n">
        <x:f>IFERROR(AB43-AY43,"")</x:f>
        <x:v>8.526512829121202e-14</x:v>
      </x:c>
      <x:c r="BF43" s="57" t="n">
        <x:f>IFERROR(AY43-AZ43,"")</x:f>
        <x:v>0</x:v>
      </x:c>
      <x:c r="BG43" s="57" t="n">
        <x:f>IFERROR(BA43-W43,"")</x:f>
        <x:v>0</x:v>
      </x:c>
      <x:c r="BH43" s="57" t="n">
        <x:v>101.325</x:v>
      </x:c>
      <x:c r="BI43" s="56" t="str">
        <x:v>RouteA_Focused_External240kW_VSH_PassiveCEGR_fresh_air_fixed_4J_600s_20260820.mat</x:v>
      </x:c>
      <x:c r="BJ43" s="56" t="str">
        <x:v>压力：kPa abs；压差/等式偏差：kPa；流量：kg/s</x:v>
      </x:c>
      <x:c r="BK43" s="56" t="str">
        <x:v>p_stack_out=cathode outlet chamber; p_split=ideal tee; p_EGR_up/down=cEGR valve ports; p_comp_in=compressor inlet mixer; p_ambient=environment reservoir</x:v>
      </x:c>
      <x:c r="BL43" s="56" t="str"/>
      <x:c r="BM43" s="56"/>
    </x:row>
    <x:row r="44">
      <x:c r="A44" s="14" t="str">
        <x:v>新鲜空气不变</x:v>
      </x:c>
      <x:c r="B44" s="14" t="str">
        <x:v>external240_fresh_air_fixed_j0p4_R0p100</x:v>
      </x:c>
      <x:c r="C44" s="15" t="b">
        <x:v>1</x:v>
      </x:c>
      <x:c r="D44" s="15" t="b">
        <x:v>1</x:v>
      </x:c>
      <x:c r="E44" s="16" t="n">
        <x:v>0.4</x:v>
      </x:c>
      <x:c r="F44" s="16" t="n">
        <x:v>2.4</x:v>
      </x:c>
      <x:c r="G44" s="17" t="n">
        <x:v>0.1</x:v>
      </x:c>
      <x:c r="H44" s="17" t="n">
        <x:v>0.10000000038406452</x:v>
      </x:c>
      <x:c r="I44" s="17" t="n">
        <x:v>3.8406451630113025e-10</x:v>
      </x:c>
      <x:c r="J44" s="17" t="n">
        <x:v>0.005000000000000001</x:v>
      </x:c>
      <x:c r="K44" s="17" t="n">
        <x:v>0.09090909090909091</x:v>
      </x:c>
      <x:c r="L44" s="17" t="n">
        <x:v>0.09090909122649952</x:v>
      </x:c>
      <x:c r="M44" s="17" t="n">
        <x:v>0.09167796799053285</x:v>
      </x:c>
      <x:c r="N44" s="18" t="n">
        <x:v>0.007833246381031566</x:v>
      </x:c>
      <x:c r="O44" s="27" t="n">
        <x:f>IF(G44=0,P44,IFERROR(N44/G44,""))</x:f>
        <x:v>0.07833246381031565</x:v>
      </x:c>
      <x:c r="P44" s="27" t="n">
        <x:v>0.07760981646958122</x:v>
      </x:c>
      <x:c r="Q44" s="17" t="n">
        <x:v>2.539742041743916</x:v>
      </x:c>
      <x:c r="R44" s="17" t="n">
        <x:v>2.539742024020731</x:v>
      </x:c>
      <x:c r="S44" s="14" t="str">
        <x:v>feasible_above_1p2</x:v>
      </x:c>
      <x:c r="T44" s="14" t="n">
        <x:v>0.7585071453949261</x:v>
      </x:c>
      <x:c r="U44" s="17" t="n">
        <x:v>0.030481387358117555</x:v>
      </x:c>
      <x:c r="V44" s="17" t="n">
        <x:v>70.0000000076882</x:v>
      </x:c>
      <x:c r="W44" s="17" t="n">
        <x:v>101.32500000000002</x:v>
      </x:c>
      <x:c r="X44" s="17" t="n">
        <x:v>179.4232984406336</x:v>
      </x:c>
      <x:c r="Y44" s="17" t="n">
        <x:v>179.20026701503295</x:v>
      </x:c>
      <x:c r="Z44" s="17" t="n">
        <x:v>179.20026701503298</x:v>
      </x:c>
      <x:c r="AA44" s="17" t="n">
        <x:v>171.32500000000002</x:v>
      </x:c>
      <x:c r="AB44" s="17" t="n">
        <x:v>171.3250000076882</x:v>
      </x:c>
      <x:c r="AC44" s="14" t="n">
        <x:v>0.17506314160742245</x:v>
      </x:c>
      <x:c r="AD44" s="17" t="n">
        <x:v>20.362321041886574</x:v>
      </x:c>
      <x:c r="AE44" s="19" t="n">
        <x:v>23.89098630802181</x:v>
      </x:c>
      <x:c r="AF44" s="19" t="n">
        <x:v>2.7445749002865156</x:v>
      </x:c>
      <x:c r="AG44" s="17" t="n">
        <x:v>0.8464185292729721</x:v>
      </x:c>
      <x:c r="AH44" s="14" t="n">
        <x:v>0</x:v>
      </x:c>
      <x:c r="AI44" s="14" t="n">
        <x:v>0</x:v>
      </x:c>
      <x:c r="AJ44" s="14" t="str">
        <x:v>gas_phase_noncondensing</x:v>
      </x:c>
      <x:c r="AK44" s="14" t="n">
        <x:v>0.9995883585167888</x:v>
      </x:c>
      <x:c r="AL44" s="14" t="n">
        <x:v>0.000031078235827404056</x:v>
      </x:c>
      <x:c r="AM44" s="14" t="str">
        <x:v>condensing_or_supersaturated</x:v>
      </x:c>
      <x:c r="AN44" s="14"/>
      <x:c r="AO44" s="14"/>
      <x:c r="AP44" s="14" t="str">
        <x:v>not_applicable_ideal_connection</x:v>
      </x:c>
      <x:c r="AQ44" s="14" t="str">
        <x:v>within_control_tolerance</x:v>
      </x:c>
      <x:c r="AR44" s="14" t="str">
        <x:v>candidate_feasible_gas_phase_screen</x:v>
      </x:c>
      <x:c r="AS44" s="14" t="str"/>
      <x:c r="AT44" s="14" t="n">
        <x:f t="shared" si="4">IFERROR(MAX(0,AG44-1)*100,"")</x:f>
        <x:v>0</x:v>
      </x:c>
      <x:c r="AU44" s="14" t="n">
        <x:f t="shared" si="5">IFERROR(AH44*1000000,"")</x:f>
        <x:v>0</x:v>
      </x:c>
      <x:c r="AV44" s="14" t="n">
        <x:f t="shared" si="6">IFERROR(AI44*1000000,"")</x:f>
        <x:v>0</x:v>
      </x:c>
      <x:c r="AW44" s="14" t="n">
        <x:f t="shared" si="7">IFERROR((AB44-AA44)*1000,"")</x:f>
        <x:v>0.000007688186087762006</x:v>
      </x:c>
      <x:c r="AX44"/>
      <x:c r="AY44" s="57" t="n">
        <x:v>171.32500000768817</x:v>
      </x:c>
      <x:c r="AZ44" s="57" t="n">
        <x:v>171.32500000768817</x:v>
      </x:c>
      <x:c r="BA44" s="57" t="n">
        <x:v>101.32500000000002</x:v>
      </x:c>
      <x:c r="BB44" s="57" t="n">
        <x:f>IFERROR(AZ44-BA44,"")</x:f>
        <x:v>70.00000000768816</x:v>
      </x:c>
      <x:c r="BC44" s="57" t="n">
        <x:f>IFERROR(AY44-BH44,"")</x:f>
        <x:v>70.00000000768817</x:v>
      </x:c>
      <x:c r="BD44" s="57" t="n">
        <x:f>IFERROR(AB44-W44,"")</x:f>
        <x:v>70.00000000768819</x:v>
      </x:c>
      <x:c r="BE44" s="57" t="n">
        <x:f>IFERROR(AB44-AY44,"")</x:f>
        <x:v>2.842170943040401e-14</x:v>
      </x:c>
      <x:c r="BF44" s="57" t="n">
        <x:f>IFERROR(AY44-AZ44,"")</x:f>
        <x:v>0</x:v>
      </x:c>
      <x:c r="BG44" s="57" t="n">
        <x:f>IFERROR(BA44-W44,"")</x:f>
        <x:v>0</x:v>
      </x:c>
      <x:c r="BH44" s="57" t="n">
        <x:v>101.325</x:v>
      </x:c>
      <x:c r="BI44" s="56" t="str">
        <x:v>RouteA_Focused_External240kW_VSH_PassiveCEGR_fresh_air_fixed_4J_600s_20260820.mat</x:v>
      </x:c>
      <x:c r="BJ44" s="56" t="str">
        <x:v>压力：kPa abs；压差/等式偏差：kPa；流量：kg/s</x:v>
      </x:c>
      <x:c r="BK44" s="56" t="str">
        <x:v>p_stack_out=cathode outlet chamber; p_split=ideal tee; p_EGR_up/down=cEGR valve ports; p_comp_in=compressor inlet mixer; p_ambient=environment reservoir</x:v>
      </x:c>
      <x:c r="BL44" s="56" t="str"/>
      <x:c r="BM44" s="56"/>
    </x:row>
    <x:row r="45">
      <x:c r="A45" s="14" t="str">
        <x:v>新鲜空气不变</x:v>
      </x:c>
      <x:c r="B45" s="14" t="str">
        <x:v>external240_fresh_air_fixed_j0p4_R0p500</x:v>
      </x:c>
      <x:c r="C45" s="15" t="b">
        <x:v>1</x:v>
      </x:c>
      <x:c r="D45" s="15" t="b">
        <x:v>1</x:v>
      </x:c>
      <x:c r="E45" s="16" t="n">
        <x:v>0.4</x:v>
      </x:c>
      <x:c r="F45" s="16" t="n">
        <x:v>2.4</x:v>
      </x:c>
      <x:c r="G45" s="17" t="n">
        <x:v>0.5</x:v>
      </x:c>
      <x:c r="H45" s="17" t="n">
        <x:v>0.4999999999736268</x:v>
      </x:c>
      <x:c r="I45" s="17" t="n">
        <x:v>-2.63731814165169e-11</x:v>
      </x:c>
      <x:c r="J45" s="17" t="n">
        <x:v>0.025</x:v>
      </x:c>
      <x:c r="K45" s="17" t="n">
        <x:v>0.3333333333333333</x:v>
      </x:c>
      <x:c r="L45" s="17" t="n">
        <x:v>0.33333333332161197</x:v>
      </x:c>
      <x:c r="M45" s="17" t="n">
        <x:v>0.3354880726066011</x:v>
      </x:c>
      <x:c r="N45" s="18" t="n">
        <x:v>0.03916623149647107</x:v>
      </x:c>
      <x:c r="O45" s="27" t="n">
        <x:f>IF(G45=0,P45,IFERROR(N45/G45,""))</x:f>
        <x:v>0.07833246299294214</x:v>
      </x:c>
      <x:c r="P45" s="27" t="n">
        <x:v>0.0775778041175701</x:v>
      </x:c>
      <x:c r="Q45" s="17" t="n">
        <x:v>3.10468558440802</x:v>
      </x:c>
      <x:c r="R45" s="17" t="n">
        <x:v>3.104685584333762</x:v>
      </x:c>
      <x:c r="S45" s="14" t="str">
        <x:v>feasible_above_1p2</x:v>
      </x:c>
      <x:c r="T45" s="14" t="n">
        <x:v>0.7584064942538876</x:v>
      </x:c>
      <x:c r="U45" s="17" t="n">
        <x:v>0.1534092626305083</x:v>
      </x:c>
      <x:c r="V45" s="17" t="n">
        <x:v>70.00000000000522</x:v>
      </x:c>
      <x:c r="W45" s="17" t="n">
        <x:v>101.32500000000003</x:v>
      </x:c>
      <x:c r="X45" s="17" t="n">
        <x:v>183.08102587281064</x:v>
      </x:c>
      <x:c r="Y45" s="17" t="n">
        <x:v>182.66630016446155</x:v>
      </x:c>
      <x:c r="Z45" s="17" t="n">
        <x:v>182.66630016446157</x:v>
      </x:c>
      <x:c r="AA45" s="17" t="n">
        <x:v>171.32500000000002</x:v>
      </x:c>
      <x:c r="AB45" s="17" t="n">
        <x:v>171.32500000000522</x:v>
      </x:c>
      <x:c r="AC45" s="14" t="n">
        <x:v>0.42185105088758684</x:v>
      </x:c>
      <x:c r="AD45" s="17" t="n">
        <x:v>17.974346334514138</x:v>
      </x:c>
      <x:c r="AE45" s="19" t="n">
        <x:v>35.13761532138233</x:v>
      </x:c>
      <x:c r="AF45" s="19" t="n">
        <x:v>-1.004631742996139</x:v>
      </x:c>
      <x:c r="AG45" s="17" t="n">
        <x:v>1.0568679230272158</x:v>
      </x:c>
      <x:c r="AH45" s="14" t="n">
        <x:v>2.3036588243729008e-7</x:v>
      </x:c>
      <x:c r="AI45" s="14" t="n">
        <x:v>0.000013821952946237405</x:v>
      </x:c>
      <x:c r="AJ45" s="14" t="str">
        <x:v>condensing_or_supersaturated</x:v>
      </x:c>
      <x:c r="AK45" s="14" t="n">
        <x:v>0.9995743974239097</x:v>
      </x:c>
      <x:c r="AL45" s="14" t="n">
        <x:v>0.00005895788101624365</x:v>
      </x:c>
      <x:c r="AM45" s="14" t="str">
        <x:v>condensing_or_supersaturated</x:v>
      </x:c>
      <x:c r="AN45" s="14"/>
      <x:c r="AO45" s="14"/>
      <x:c r="AP45" s="14" t="str">
        <x:v>not_applicable_ideal_connection</x:v>
      </x:c>
      <x:c r="AQ45" s="14" t="str">
        <x:v>within_control_tolerance</x:v>
      </x:c>
      <x:c r="AR45" s="14" t="str">
        <x:v>not_acceptable_mixer_condensation</x:v>
      </x:c>
      <x:c r="AS45" s="14" t="str"/>
      <x:c r="AT45" s="14" t="n">
        <x:f t="shared" si="4">IFERROR(MAX(0,AG45-1)*100,"")</x:f>
        <x:v>5.686792302721577</x:v>
      </x:c>
      <x:c r="AU45" s="14" t="n">
        <x:f t="shared" si="5">IFERROR(AH45*1000000,"")</x:f>
        <x:v>0.2303658824372901</x:v>
      </x:c>
      <x:c r="AV45" s="14" t="n">
        <x:f t="shared" si="6">IFERROR(AI45*1000000,"")</x:f>
        <x:v>13.821952946237404</x:v>
      </x:c>
      <x:c r="AW45" s="14" t="n">
        <x:f t="shared" si="7">IFERROR((AB45-AA45)*1000,"")</x:f>
        <x:v>5.201172825763933e-9</x:v>
      </x:c>
      <x:c r="AX45"/>
      <x:c r="AY45" s="57" t="n">
        <x:v>171.3250000000052</x:v>
      </x:c>
      <x:c r="AZ45" s="57" t="n">
        <x:v>171.3250000000052</x:v>
      </x:c>
      <x:c r="BA45" s="57" t="n">
        <x:v>101.32500000000003</x:v>
      </x:c>
      <x:c r="BB45" s="57" t="n">
        <x:f>IFERROR(AZ45-BA45,"")</x:f>
        <x:v>70.00000000000516</x:v>
      </x:c>
      <x:c r="BC45" s="57" t="n">
        <x:f>IFERROR(AY45-BH45,"")</x:f>
        <x:v>70.00000000000519</x:v>
      </x:c>
      <x:c r="BD45" s="57" t="n">
        <x:f>IFERROR(AB45-W45,"")</x:f>
        <x:v>70.00000000000519</x:v>
      </x:c>
      <x:c r="BE45" s="57" t="n">
        <x:f>IFERROR(AB45-AY45,"")</x:f>
        <x:v>2.842170943040401e-14</x:v>
      </x:c>
      <x:c r="BF45" s="57" t="n">
        <x:f>IFERROR(AY45-AZ45,"")</x:f>
        <x:v>0</x:v>
      </x:c>
      <x:c r="BG45" s="57" t="n">
        <x:f>IFERROR(BA45-W45,"")</x:f>
        <x:v>0</x:v>
      </x:c>
      <x:c r="BH45" s="57" t="n">
        <x:v>101.325</x:v>
      </x:c>
      <x:c r="BI45" s="56" t="str">
        <x:v>RouteA_Focused_External240kW_VSH_PassiveCEGR_fresh_air_fixed_4J_600s_20260820.mat</x:v>
      </x:c>
      <x:c r="BJ45" s="56" t="str">
        <x:v>压力：kPa abs；压差/等式偏差：kPa；流量：kg/s</x:v>
      </x:c>
      <x:c r="BK45" s="56" t="str">
        <x:v>p_stack_out=cathode outlet chamber; p_split=ideal tee; p_EGR_up/down=cEGR valve ports; p_comp_in=compressor inlet mixer; p_ambient=environment reservoir</x:v>
      </x:c>
      <x:c r="BL45" s="56" t="str"/>
      <x:c r="BM45" s="56"/>
    </x:row>
    <x:row r="46">
      <x:c r="A46" s="14" t="str">
        <x:v>新鲜空气不变</x:v>
      </x:c>
      <x:c r="B46" s="14" t="str">
        <x:v>external240_fresh_air_fixed_j0p4_R1p000</x:v>
      </x:c>
      <x:c r="C46" s="15" t="b">
        <x:v>1</x:v>
      </x:c>
      <x:c r="D46" s="15" t="b">
        <x:v>1</x:v>
      </x:c>
      <x:c r="E46" s="16" t="n">
        <x:v>0.4</x:v>
      </x:c>
      <x:c r="F46" s="16" t="n">
        <x:v>2.4</x:v>
      </x:c>
      <x:c r="G46" s="17" t="n">
        <x:v>1</x:v>
      </x:c>
      <x:c r="H46" s="17" t="n">
        <x:v>0.9999996262356925</x:v>
      </x:c>
      <x:c r="I46" s="17" t="n">
        <x:v>-3.737643075041319e-7</x:v>
      </x:c>
      <x:c r="J46" s="17" t="n">
        <x:v>0.05</x:v>
      </x:c>
      <x:c r="K46" s="17" t="n">
        <x:v>0.5</x:v>
      </x:c>
      <x:c r="L46" s="17" t="n">
        <x:v>0.4999999065589017</x:v>
      </x:c>
      <x:c r="M46" s="17" t="n">
        <x:v>0.5025725605822408</x:v>
      </x:c>
      <x:c r="N46" s="18" t="n">
        <x:v>0.07833243389076215</x:v>
      </x:c>
      <x:c r="O46" s="27" t="n">
        <x:f>IF(G46=0,P46,IFERROR(N46/G46,""))</x:f>
        <x:v>0.07833243389076215</x:v>
      </x:c>
      <x:c r="P46" s="27" t="n">
        <x:v>0.07753050020976333</x:v>
      </x:c>
      <x:c r="Q46" s="17" t="n">
        <x:v>3.8116298546155916</x:v>
      </x:c>
      <x:c r="R46" s="17" t="n">
        <x:v>3.81162928124741</x:v>
      </x:c>
      <x:c r="S46" s="14" t="str">
        <x:v>feasible_above_1p2</x:v>
      </x:c>
      <x:c r="T46" s="14" t="n">
        <x:v>0.7582726861449194</x:v>
      </x:c>
      <x:c r="U46" s="17" t="n">
        <x:v>0.3084955851843365</x:v>
      </x:c>
      <x:c r="V46" s="17" t="n">
        <x:v>70.00000002596506</x:v>
      </x:c>
      <x:c r="W46" s="17" t="n">
        <x:v>101.32500000000002</x:v>
      </x:c>
      <x:c r="X46" s="17" t="n">
        <x:v>188.4280226724538</x:v>
      </x:c>
      <x:c r="Y46" s="17" t="n">
        <x:v>187.6907347513668</x:v>
      </x:c>
      <x:c r="Z46" s="17" t="n">
        <x:v>187.69073475136685</x:v>
      </x:c>
      <x:c r="AA46" s="17" t="n">
        <x:v>171.32500000000002</x:v>
      </x:c>
      <x:c r="AB46" s="17" t="n">
        <x:v>171.3250000259651</x:v>
      </x:c>
      <x:c r="AC46" s="14" t="n">
        <x:v>0.5907710562609362</x:v>
      </x:c>
      <x:c r="AD46" s="17" t="n">
        <x:v>16.37983334461695</x:v>
      </x:c>
      <x:c r="AE46" s="19" t="n">
        <x:v>42.14381619694262</x:v>
      </x:c>
      <x:c r="AF46" s="19" t="n">
        <x:v>-0.056841979613466265</x:v>
      </x:c>
      <x:c r="AG46" s="17" t="n">
        <x:v>1.0029882941873842</x:v>
      </x:c>
      <x:c r="AH46" s="14" t="n">
        <x:v>7.733963697927964e-9</x:v>
      </x:c>
      <x:c r="AI46" s="14" t="n">
        <x:v>4.640378218756778e-7</x:v>
      </x:c>
      <x:c r="AJ46" s="14" t="str">
        <x:v>condensing_or_supersaturated</x:v>
      </x:c>
      <x:c r="AK46" s="14" t="n">
        <x:v>0.9995874355853731</x:v>
      </x:c>
      <x:c r="AL46" s="14" t="n">
        <x:v>0.00009949392714605008</x:v>
      </x:c>
      <x:c r="AM46" s="14" t="str">
        <x:v>condensing_or_supersaturated</x:v>
      </x:c>
      <x:c r="AN46" s="14"/>
      <x:c r="AO46" s="14"/>
      <x:c r="AP46" s="14" t="str">
        <x:v>not_applicable_ideal_connection</x:v>
      </x:c>
      <x:c r="AQ46" s="14" t="str">
        <x:v>within_control_tolerance</x:v>
      </x:c>
      <x:c r="AR46" s="14" t="str">
        <x:v>not_acceptable_mixer_condensation</x:v>
      </x:c>
      <x:c r="AS46" s="14" t="str"/>
      <x:c r="AT46" s="14" t="n">
        <x:f t="shared" si="4">IFERROR(MAX(0,AG46-1)*100,"")</x:f>
        <x:v>0.29882941873842217</x:v>
      </x:c>
      <x:c r="AU46" s="14" t="n">
        <x:f t="shared" si="5">IFERROR(AH46*1000000,"")</x:f>
        <x:v>0.007733963697927964</x:v>
      </x:c>
      <x:c r="AV46" s="14" t="n">
        <x:f t="shared" si="6">IFERROR(AI46*1000000,"")</x:f>
        <x:v>0.4640378218756778</x:v>
      </x:c>
      <x:c r="AW46" s="14" t="n">
        <x:f t="shared" si="7">IFERROR((AB46-AA46)*1000,"")</x:f>
        <x:v>0.000025965078975787037</x:v>
      </x:c>
      <x:c r="AX46"/>
      <x:c r="AY46" s="57" t="n">
        <x:v>171.32500002596504</x:v>
      </x:c>
      <x:c r="AZ46" s="57" t="n">
        <x:v>171.32500002596504</x:v>
      </x:c>
      <x:c r="BA46" s="57" t="n">
        <x:v>101.32500000000002</x:v>
      </x:c>
      <x:c r="BB46" s="57" t="n">
        <x:f>IFERROR(AZ46-BA46,"")</x:f>
        <x:v>70.00000002596502</x:v>
      </x:c>
      <x:c r="BC46" s="57" t="n">
        <x:f>IFERROR(AY46-BH46,"")</x:f>
        <x:v>70.00000002596504</x:v>
      </x:c>
      <x:c r="BD46" s="57" t="n">
        <x:f>IFERROR(AB46-W46,"")</x:f>
        <x:v>70.00000002596508</x:v>
      </x:c>
      <x:c r="BE46" s="57" t="n">
        <x:f>IFERROR(AB46-AY46,"")</x:f>
        <x:v>5.684341886080802e-14</x:v>
      </x:c>
      <x:c r="BF46" s="57" t="n">
        <x:f>IFERROR(AY46-AZ46,"")</x:f>
        <x:v>0</x:v>
      </x:c>
      <x:c r="BG46" s="57" t="n">
        <x:f>IFERROR(BA46-W46,"")</x:f>
        <x:v>0</x:v>
      </x:c>
      <x:c r="BH46" s="57" t="n">
        <x:v>101.325</x:v>
      </x:c>
      <x:c r="BI46" s="56" t="str">
        <x:v>RouteA_Focused_External240kW_VSH_PassiveCEGR_fresh_air_fixed_4J_600s_20260820.mat</x:v>
      </x:c>
      <x:c r="BJ46" s="56" t="str">
        <x:v>压力：kPa abs；压差/等式偏差：kPa；流量：kg/s</x:v>
      </x:c>
      <x:c r="BK46" s="56" t="str">
        <x:v>p_stack_out=cathode outlet chamber; p_split=ideal tee; p_EGR_up/down=cEGR valve ports; p_comp_in=compressor inlet mixer; p_ambient=environment reservoir</x:v>
      </x:c>
      <x:c r="BL46" s="56" t="str"/>
      <x:c r="BM46" s="56"/>
    </x:row>
    <x:row r="47">
      <x:c r="A47" s="14" t="str">
        <x:v>新鲜空气不变</x:v>
      </x:c>
      <x:c r="B47" s="14" t="str">
        <x:v>external240_fresh_air_fixed_j0p4_R2p000</x:v>
      </x:c>
      <x:c r="C47" s="15" t="b">
        <x:v>1</x:v>
      </x:c>
      <x:c r="D47" s="15" t="b">
        <x:v>1</x:v>
      </x:c>
      <x:c r="E47" s="16" t="n">
        <x:v>0.4</x:v>
      </x:c>
      <x:c r="F47" s="16" t="n">
        <x:v>2.4</x:v>
      </x:c>
      <x:c r="G47" s="17" t="n">
        <x:v>2</x:v>
      </x:c>
      <x:c r="H47" s="17" t="n">
        <x:v>1.998992918318694</x:v>
      </x:c>
      <x:c r="I47" s="17" t="n">
        <x:v>-0.0010070816813059214</x:v>
      </x:c>
      <x:c r="J47" s="17" t="n">
        <x:v>0.1</x:v>
      </x:c>
      <x:c r="K47" s="17" t="n">
        <x:v>0.6666666666666666</x:v>
      </x:c>
      <x:c r="L47" s="17" t="n">
        <x:v>0.6665547290832053</x:v>
      </x:c>
      <x:c r="M47" s="17" t="n">
        <x:v>0.6692063654752273</x:v>
      </x:c>
      <x:c r="N47" s="18" t="n">
        <x:v>0.1565853429173999</x:v>
      </x:c>
      <x:c r="O47" s="27" t="n">
        <x:f>IF(G47=0,P47,IFERROR(N47/G47,""))</x:f>
        <x:v>0.07829267145869995</x:v>
      </x:c>
      <x:c r="P47" s="27" t="n">
        <x:v>0.07740128810665362</x:v>
      </x:c>
      <x:c r="Q47" s="17" t="n">
        <x:v>5.227910178168768</x:v>
      </x:c>
      <x:c r="R47" s="17" t="n">
        <x:v>5.22724510631747</x:v>
      </x:c>
      <x:c r="S47" s="14" t="str">
        <x:v>feasible_above_1p2</x:v>
      </x:c>
      <x:c r="T47" s="14" t="n">
        <x:v>0.7580014465962303</x:v>
      </x:c>
      <x:c r="U47" s="17" t="n">
        <x:v>0.6172418217131403</x:v>
      </x:c>
      <x:c r="V47" s="17" t="n">
        <x:v>70.00001245470106</x:v>
      </x:c>
      <x:c r="W47" s="17" t="n">
        <x:v>101.32500000000002</x:v>
      </x:c>
      <x:c r="X47" s="17" t="n">
        <x:v>202.16979409197805</x:v>
      </x:c>
      <x:c r="Y47" s="17" t="n">
        <x:v>200.5120291322827</x:v>
      </x:c>
      <x:c r="Z47" s="17" t="n">
        <x:v>200.51202913228272</x:v>
      </x:c>
      <x:c r="AA47" s="17" t="n">
        <x:v>171.32500000000002</x:v>
      </x:c>
      <x:c r="AB47" s="17" t="n">
        <x:v>171.3250124547011</x:v>
      </x:c>
      <x:c r="AC47" s="14" t="n">
        <x:v>0.7662277184163937</x:v>
      </x:c>
      <x:c r="AD47" s="17" t="n">
        <x:v>14.835625856917414</x:v>
      </x:c>
      <x:c r="AE47" s="19" t="n">
        <x:v>47.4412180434021</x:v>
      </x:c>
      <x:c r="AF47" s="19" t="n">
        <x:v>0.7782807477822615</x:v>
      </x:c>
      <x:c r="AG47" s="17" t="n">
        <x:v>0.9613189024571032</x:v>
      </x:c>
      <x:c r="AH47" s="14" t="n">
        <x:v>0</x:v>
      </x:c>
      <x:c r="AI47" s="14" t="n">
        <x:v>0</x:v>
      </x:c>
      <x:c r="AJ47" s="14" t="str">
        <x:v>near_saturation_risk</x:v>
      </x:c>
      <x:c r="AK47" s="14" t="n">
        <x:v>0.9998787164689013</x:v>
      </x:c>
      <x:c r="AL47" s="14" t="n">
        <x:v>0.00020723754798487927</x:v>
      </x:c>
      <x:c r="AM47" s="14" t="str">
        <x:v>condensing_or_supersaturated</x:v>
      </x:c>
      <x:c r="AN47" s="14"/>
      <x:c r="AO47" s="14"/>
      <x:c r="AP47" s="14" t="str">
        <x:v>not_applicable_ideal_connection</x:v>
      </x:c>
      <x:c r="AQ47" s="14" t="str">
        <x:v>within_control_tolerance</x:v>
      </x:c>
      <x:c r="AR47" s="14" t="str">
        <x:v>risk_review_required</x:v>
      </x:c>
      <x:c r="AS47" s="14" t="str"/>
      <x:c r="AT47" s="14" t="n">
        <x:f t="shared" si="4">IFERROR(MAX(0,AG47-1)*100,"")</x:f>
        <x:v>0</x:v>
      </x:c>
      <x:c r="AU47" s="14" t="n">
        <x:f t="shared" si="5">IFERROR(AH47*1000000,"")</x:f>
        <x:v>0</x:v>
      </x:c>
      <x:c r="AV47" s="14" t="n">
        <x:f t="shared" si="6">IFERROR(AI47*1000000,"")</x:f>
        <x:v>0</x:v>
      </x:c>
      <x:c r="AW47" s="14" t="n">
        <x:f t="shared" si="7">IFERROR((AB47-AA47)*1000,"")</x:f>
        <x:v>0.012454701078468133</x:v>
      </x:c>
      <x:c r="AX47"/>
      <x:c r="AY47" s="57" t="n">
        <x:v>171.32501245470107</x:v>
      </x:c>
      <x:c r="AZ47" s="57" t="n">
        <x:v>171.32501245470107</x:v>
      </x:c>
      <x:c r="BA47" s="57" t="n">
        <x:v>101.32500000000002</x:v>
      </x:c>
      <x:c r="BB47" s="57" t="n">
        <x:f>IFERROR(AZ47-BA47,"")</x:f>
        <x:v>70.00001245470105</x:v>
      </x:c>
      <x:c r="BC47" s="57" t="n">
        <x:f>IFERROR(AY47-BH47,"")</x:f>
        <x:v>70.00001245470106</x:v>
      </x:c>
      <x:c r="BD47" s="57" t="n">
        <x:f>IFERROR(AB47-W47,"")</x:f>
        <x:v>70.00001245470108</x:v>
      </x:c>
      <x:c r="BE47" s="57" t="n">
        <x:f>IFERROR(AB47-AY47,"")</x:f>
        <x:v>2.842170943040401e-14</x:v>
      </x:c>
      <x:c r="BF47" s="57" t="n">
        <x:f>IFERROR(AY47-AZ47,"")</x:f>
        <x:v>0</x:v>
      </x:c>
      <x:c r="BG47" s="57" t="n">
        <x:f>IFERROR(BA47-W47,"")</x:f>
        <x:v>0</x:v>
      </x:c>
      <x:c r="BH47" s="57" t="n">
        <x:v>101.325</x:v>
      </x:c>
      <x:c r="BI47" s="56" t="str">
        <x:v>RouteA_Focused_External240kW_VSH_PassiveCEGR_fresh_air_fixed_4J_600s_20260820.mat</x:v>
      </x:c>
      <x:c r="BJ47" s="56" t="str">
        <x:v>压力：kPa abs；压差/等式偏差：kPa；流量：kg/s</x:v>
      </x:c>
      <x:c r="BK47" s="56" t="str">
        <x:v>p_stack_out=cathode outlet chamber; p_split=ideal tee; p_EGR_up/down=cEGR valve ports; p_comp_in=compressor inlet mixer; p_ambient=environment reservoir</x:v>
      </x:c>
      <x:c r="BL47" s="56" t="str"/>
      <x:c r="BM47" s="56"/>
    </x:row>
    <x:row r="48">
      <x:c r="A48" s="14" t="str">
        <x:v>新鲜空气不变</x:v>
      </x:c>
      <x:c r="B48" s="14" t="str">
        <x:v>external240_fresh_air_fixed_j0p4_R4p000</x:v>
      </x:c>
      <x:c r="C48" s="15" t="b">
        <x:v>1</x:v>
      </x:c>
      <x:c r="D48" s="15" t="b">
        <x:v>0</x:v>
      </x:c>
      <x:c r="E48" s="16" t="n">
        <x:v>0.4</x:v>
      </x:c>
      <x:c r="F48" s="16" t="n">
        <x:v>2.4</x:v>
      </x:c>
      <x:c r="G48" s="17" t="n">
        <x:v>4</x:v>
      </x:c>
      <x:c r="H48" s="17" t="n">
        <x:v>3.309180598737149</x:v>
      </x:c>
      <x:c r="I48" s="17" t="n">
        <x:v>-0.6908194012628508</x:v>
      </x:c>
      <x:c r="J48" s="17" t="n">
        <x:v>0.2</x:v>
      </x:c>
      <x:c r="K48" s="17" t="n">
        <x:v>0.8</x:v>
      </x:c>
      <x:c r="L48" s="17" t="n">
        <x:v>0.7679373196163882</x:v>
      </x:c>
      <x:c r="M48" s="17" t="n">
        <x:v>0.7705526822692415</x:v>
      </x:c>
      <x:c r="N48" s="18" t="n">
        <x:v>0.25921626680241355</x:v>
      </x:c>
      <x:c r="O48" s="27" t="n">
        <x:f>IF(G48=0,P48,IFERROR(N48/G48,""))</x:f>
        <x:v>0.06480406670060339</x:v>
      </x:c>
      <x:c r="P48" s="27" t="n">
        <x:v>0.07718677580206328</x:v>
      </x:c>
      <x:c r="Q48" s="17" t="n">
        <x:v>7.1179622780919525</x:v>
      </x:c>
      <x:c r="R48" s="17" t="n">
        <x:v>7.117962278091948</x:v>
      </x:c>
      <x:c r="S48" s="14" t="str">
        <x:v>feasible_above_1p2</x:v>
      </x:c>
      <x:c r="T48" s="14" t="n">
        <x:v>0.7579414236436229</x:v>
      </x:c>
      <x:c r="U48" s="17" t="n">
        <x:v>1</x:v>
      </x:c>
      <x:c r="V48" s="17" t="n">
        <x:v>70.00000000000001</x:v>
      </x:c>
      <x:c r="W48" s="17" t="n">
        <x:v>101.32500000000002</x:v>
      </x:c>
      <x:c r="X48" s="17" t="n">
        <x:v>227.14112055233846</x:v>
      </x:c>
      <x:c r="Y48" s="17" t="n">
        <x:v>223.7184465943869</x:v>
      </x:c>
      <x:c r="Z48" s="17" t="n">
        <x:v>223.71844659438693</x:v>
      </x:c>
      <x:c r="AA48" s="17" t="n">
        <x:v>171.32500000000002</x:v>
      </x:c>
      <x:c r="AB48" s="17" t="n">
        <x:v>171.32500000000007</x:v>
      </x:c>
      <x:c r="AC48" s="14" t="n">
        <x:v>0.8767551220034823</x:v>
      </x:c>
      <x:c r="AD48" s="17" t="n">
        <x:v>13.991033155315497</x:v>
      </x:c>
      <x:c r="AE48" s="19" t="n">
        <x:v>47.162427648061225</x:v>
      </x:c>
      <x:c r="AF48" s="19" t="n">
        <x:v>-1.0615438585343355</x:v>
      </x:c>
      <x:c r="AG48" s="17" t="n">
        <x:v>1.0550221453067736</x:v>
      </x:c>
      <x:c r="AH48" s="14" t="n">
        <x:v>4.213713110463079e-7</x:v>
      </x:c>
      <x:c r="AI48" s="14" t="n">
        <x:v>0.000025282278662778473</x:v>
      </x:c>
      <x:c r="AJ48" s="14" t="str">
        <x:v>condensing_or_supersaturated</x:v>
      </x:c>
      <x:c r="AK48" s="14" t="n">
        <x:v>1.0007069976138716</x:v>
      </x:c>
      <x:c r="AL48" s="14" t="n">
        <x:v>0.0003808724281773457</x:v>
      </x:c>
      <x:c r="AM48" s="14" t="str">
        <x:v>condensing_or_supersaturated</x:v>
      </x:c>
      <x:c r="AN48" s="14"/>
      <x:c r="AO48" s="14"/>
      <x:c r="AP48" s="14" t="str">
        <x:v>not_applicable_ideal_connection</x:v>
      </x:c>
      <x:c r="AQ48" s="14" t="str">
        <x:v>deviation_valve_area_saturated</x:v>
      </x:c>
      <x:c r="AR48" s="14" t="str">
        <x:v>not_acceptable_mixer_condensation</x:v>
      </x:c>
      <x:c r="AS48" s="14" t="str"/>
      <x:c r="AT48" s="14" t="n">
        <x:f t="shared" si="4">IFERROR(MAX(0,AG48-1)*100,"")</x:f>
        <x:v>5.502214530677363</x:v>
      </x:c>
      <x:c r="AU48" s="14" t="n">
        <x:f t="shared" si="5">IFERROR(AH48*1000000,"")</x:f>
        <x:v>0.4213713110463079</x:v>
      </x:c>
      <x:c r="AV48" s="14" t="n">
        <x:f t="shared" si="6">IFERROR(AI48*1000000,"")</x:f>
        <x:v>25.282278662778474</x:v>
      </x:c>
      <x:c r="AW48" s="14" t="n">
        <x:f t="shared" si="7">IFERROR((AB48-AA48)*1000,"")</x:f>
        <x:v>5.6843418860808015e-11</x:v>
      </x:c>
      <x:c r="AX48" t="str">
        <x:v>valve_area</x:v>
      </x:c>
      <x:c r="AY48" s="57" t="n">
        <x:v>171.32500000000002</x:v>
      </x:c>
      <x:c r="AZ48" s="57" t="n">
        <x:v>171.32500000000002</x:v>
      </x:c>
      <x:c r="BA48" s="57" t="n">
        <x:v>101.32500000000002</x:v>
      </x:c>
      <x:c r="BB48" s="57" t="n">
        <x:f>IFERROR(AZ48-BA48,"")</x:f>
        <x:v>70</x:v>
      </x:c>
      <x:c r="BC48" s="57" t="n">
        <x:f>IFERROR(AY48-BH48,"")</x:f>
        <x:v>70.00000000000001</x:v>
      </x:c>
      <x:c r="BD48" s="57" t="n">
        <x:f>IFERROR(AB48-W48,"")</x:f>
        <x:v>70.00000000000006</x:v>
      </x:c>
      <x:c r="BE48" s="57" t="n">
        <x:f>IFERROR(AB48-AY48,"")</x:f>
        <x:v>5.684341886080802e-14</x:v>
      </x:c>
      <x:c r="BF48" s="57" t="n">
        <x:f>IFERROR(AY48-AZ48,"")</x:f>
        <x:v>0</x:v>
      </x:c>
      <x:c r="BG48" s="57" t="n">
        <x:f>IFERROR(BA48-W48,"")</x:f>
        <x:v>0</x:v>
      </x:c>
      <x:c r="BH48" s="57" t="n">
        <x:v>101.325</x:v>
      </x:c>
      <x:c r="BI48" s="56" t="str">
        <x:v>RouteA_Focused_External240kW_VSH_PassiveCEGR_fresh_air_fixed_4J_600s_20260820.mat</x:v>
      </x:c>
      <x:c r="BJ48" s="56" t="str">
        <x:v>压力：kPa abs；压差/等式偏差：kPa；流量：kg/s</x:v>
      </x:c>
      <x:c r="BK48" s="56" t="str">
        <x:v>p_stack_out=cathode outlet chamber; p_split=ideal tee; p_EGR_up/down=cEGR valve ports; p_comp_in=compressor inlet mixer; p_ambient=environment reservoir</x:v>
      </x:c>
      <x:c r="BL48" s="56" t="str">
        <x:v>valve_area</x:v>
      </x:c>
      <x:c r="BM48" s="56" t="str">
        <x:v>valve_area</x:v>
      </x:c>
    </x:row>
    <x:row r="49">
      <x:c r="A49" s="14" t="str">
        <x:v>新鲜空气不变</x:v>
      </x:c>
      <x:c r="B49" s="14" t="str">
        <x:v>external240_fresh_air_fixed_j0p4_R8p000</x:v>
      </x:c>
      <x:c r="C49" s="15" t="b">
        <x:v>1</x:v>
      </x:c>
      <x:c r="D49" s="15" t="b">
        <x:v>0</x:v>
      </x:c>
      <x:c r="E49" s="16" t="n">
        <x:v>0.4</x:v>
      </x:c>
      <x:c r="F49" s="16" t="n">
        <x:v>2.4</x:v>
      </x:c>
      <x:c r="G49" s="17" t="n">
        <x:v>8</x:v>
      </x:c>
      <x:c r="H49" s="17" t="n">
        <x:v>3.3091828780806836</x:v>
      </x:c>
      <x:c r="I49" s="17" t="n">
        <x:v>-4.690817121919316</x:v>
      </x:c>
      <x:c r="J49" s="17" t="n">
        <x:v>0.4</x:v>
      </x:c>
      <x:c r="K49" s="17" t="n">
        <x:v>0.8888888888888888</x:v>
      </x:c>
      <x:c r="L49" s="17" t="n">
        <x:v>0.7679374423660102</x:v>
      </x:c>
      <x:c r="M49" s="17" t="n">
        <x:v>0.7705532803099571</x:v>
      </x:c>
      <x:c r="N49" s="18" t="n">
        <x:v>0.2592164453490067</x:v>
      </x:c>
      <x:c r="O49" s="27" t="n">
        <x:f>IF(G49=0,P49,IFERROR(N49/G49,""))</x:f>
        <x:v>0.032402055668625834</x:v>
      </x:c>
      <x:c r="P49" s="27" t="n">
        <x:v>0.07718656787901589</x:v>
      </x:c>
      <x:c r="Q49" s="17" t="n">
        <x:v>7.117963711962813</x:v>
      </x:c>
      <x:c r="R49" s="17" t="n">
        <x:v>7.117963711962808</x:v>
      </x:c>
      <x:c r="S49" s="14" t="str">
        <x:v>feasible_above_1p2</x:v>
      </x:c>
      <x:c r="T49" s="14" t="n">
        <x:v>0.7579415924715958</x:v>
      </x:c>
      <x:c r="U49" s="17" t="n">
        <x:v>1</x:v>
      </x:c>
      <x:c r="V49" s="17" t="n">
        <x:v>70.00000000000001</x:v>
      </x:c>
      <x:c r="W49" s="17" t="n">
        <x:v>101.32500000000002</x:v>
      </x:c>
      <x:c r="X49" s="17" t="n">
        <x:v>227.14111642000017</x:v>
      </x:c>
      <x:c r="Y49" s="17" t="n">
        <x:v>223.71843884119966</x:v>
      </x:c>
      <x:c r="Z49" s="17" t="n">
        <x:v>223.71843884119966</x:v>
      </x:c>
      <x:c r="AA49" s="17" t="n">
        <x:v>171.32500000000002</x:v>
      </x:c>
      <x:c r="AB49" s="17" t="n">
        <x:v>171.32500000000005</x:v>
      </x:c>
      <x:c r="AC49" s="14" t="n">
        <x:v>0.8768112081866055</x:v>
      </x:c>
      <x:c r="AD49" s="17" t="n">
        <x:v>13.99196849712287</x:v>
      </x:c>
      <x:c r="AE49" s="19" t="n">
        <x:v>47.181516947103376</x:v>
      </x:c>
      <x:c r="AF49" s="19" t="n">
        <x:v>-1.043582436896429</x:v>
      </x:c>
      <x:c r="AG49" s="17" t="n">
        <x:v>1.0540624454864331</x:v>
      </x:c>
      <x:c r="AH49" s="14" t="n">
        <x:v>4.1451151022274314e-7</x:v>
      </x:c>
      <x:c r="AI49" s="14" t="n">
        <x:v>0.00002487069061336459</x:v>
      </x:c>
      <x:c r="AJ49" s="14" t="str">
        <x:v>condensing_or_supersaturated</x:v>
      </x:c>
      <x:c r="AK49" s="14" t="n">
        <x:v>1.0007073169462237</x:v>
      </x:c>
      <x:c r="AL49" s="14" t="n">
        <x:v>0.00038108081676592486</x:v>
      </x:c>
      <x:c r="AM49" s="14" t="str">
        <x:v>condensing_or_supersaturated</x:v>
      </x:c>
      <x:c r="AN49" s="14"/>
      <x:c r="AO49" s="14"/>
      <x:c r="AP49" s="14" t="str">
        <x:v>not_applicable_ideal_connection</x:v>
      </x:c>
      <x:c r="AQ49" s="14" t="str">
        <x:v>deviation_valve_area_saturated</x:v>
      </x:c>
      <x:c r="AR49" s="14" t="str">
        <x:v>not_acceptable_mixer_condensation</x:v>
      </x:c>
      <x:c r="AS49" s="14" t="str"/>
      <x:c r="AT49" s="14" t="n">
        <x:f t="shared" si="4">IFERROR(MAX(0,AG49-1)*100,"")</x:f>
        <x:v>5.406244548643313</x:v>
      </x:c>
      <x:c r="AU49" s="14" t="n">
        <x:f t="shared" si="5">IFERROR(AH49*1000000,"")</x:f>
        <x:v>0.41451151022274313</x:v>
      </x:c>
      <x:c r="AV49" s="14" t="n">
        <x:f t="shared" si="6">IFERROR(AI49*1000000,"")</x:f>
        <x:v>24.870690613364587</x:v>
      </x:c>
      <x:c r="AW49" s="14" t="n">
        <x:f t="shared" si="7">IFERROR((AB49-AA49)*1000,"")</x:f>
        <x:v>2.8421709430404007e-11</x:v>
      </x:c>
      <x:c r="AX49" t="str">
        <x:v>cegr_tracking;valve_area</x:v>
      </x:c>
      <x:c r="AY49" s="57" t="n">
        <x:v>171.32500000000002</x:v>
      </x:c>
      <x:c r="AZ49" s="57" t="n">
        <x:v>171.32500000000002</x:v>
      </x:c>
      <x:c r="BA49" s="57" t="n">
        <x:v>101.32500000000002</x:v>
      </x:c>
      <x:c r="BB49" s="57" t="n">
        <x:f>IFERROR(AZ49-BA49,"")</x:f>
        <x:v>70</x:v>
      </x:c>
      <x:c r="BC49" s="57" t="n">
        <x:f>IFERROR(AY49-BH49,"")</x:f>
        <x:v>70.00000000000001</x:v>
      </x:c>
      <x:c r="BD49" s="57" t="n">
        <x:f>IFERROR(AB49-W49,"")</x:f>
        <x:v>70.00000000000003</x:v>
      </x:c>
      <x:c r="BE49" s="57" t="n">
        <x:f>IFERROR(AB49-AY49,"")</x:f>
        <x:v>2.842170943040401e-14</x:v>
      </x:c>
      <x:c r="BF49" s="57" t="n">
        <x:f>IFERROR(AY49-AZ49,"")</x:f>
        <x:v>0</x:v>
      </x:c>
      <x:c r="BG49" s="57" t="n">
        <x:f>IFERROR(BA49-W49,"")</x:f>
        <x:v>0</x:v>
      </x:c>
      <x:c r="BH49" s="57" t="n">
        <x:v>101.325</x:v>
      </x:c>
      <x:c r="BI49" s="56" t="str">
        <x:v>RouteA_Focused_External240kW_VSH_PassiveCEGR_fresh_air_fixed_4J_600s_20260820.mat</x:v>
      </x:c>
      <x:c r="BJ49" s="56" t="str">
        <x:v>压力：kPa abs；压差/等式偏差：kPa；流量：kg/s</x:v>
      </x:c>
      <x:c r="BK49" s="56" t="str">
        <x:v>p_stack_out=cathode outlet chamber; p_split=ideal tee; p_EGR_up/down=cEGR valve ports; p_comp_in=compressor inlet mixer; p_ambient=environment reservoir</x:v>
      </x:c>
      <x:c r="BL49" s="56" t="str">
        <x:v>cegr_tracking;valve_area</x:v>
      </x:c>
      <x:c r="BM49" s="56" t="str">
        <x:v>cegr_tracking;valve_area</x:v>
      </x:c>
    </x:row>
    <x:row r="50">
      <x:c r="A50" s="14" t="str">
        <x:v>新鲜空气不变</x:v>
      </x:c>
      <x:c r="B50" s="14" t="str">
        <x:v>external240_fresh_air_fixed_j1p0_R0p000</x:v>
      </x:c>
      <x:c r="C50" s="15" t="b">
        <x:v>1</x:v>
      </x:c>
      <x:c r="D50" s="15" t="b">
        <x:v>1</x:v>
      </x:c>
      <x:c r="E50" s="16" t="n">
        <x:v>1</x:v>
      </x:c>
      <x:c r="F50" s="16" t="n">
        <x:v>1.8</x:v>
      </x:c>
      <x:c r="G50" s="17" t="n">
        <x:v>0</x:v>
      </x:c>
      <x:c r="H50" s="17" t="n">
        <x:v>2.448253387372884e-7</x:v>
      </x:c>
      <x:c r="I50" s="17" t="n">
        <x:v>2.448253387372884e-7</x:v>
      </x:c>
      <x:c r="J50" s="17" t="n">
        <x:v>0.005</x:v>
      </x:c>
      <x:c r="K50" s="17" t="n">
        <x:v>0</x:v>
      </x:c>
      <x:c r="L50" s="17" t="n">
        <x:v>2.448252787978567e-7</x:v>
      </x:c>
      <x:c r="M50" s="17" t="n">
        <x:v>2.436339346243603e-7</x:v>
      </x:c>
      <x:c r="N50" s="18" t="n">
        <x:v>3.5958322101512975e-8</x:v>
      </x:c>
      <x:c r="O50" s="27" t="n">
        <x:f>IF(G50=0,P50,IFERROR(N50/G50,""))</x:f>
        <x:v>0.1475915635327514</x:v>
      </x:c>
      <x:c r="P50" s="27" t="n">
        <x:v>0.1475915635327514</x:v>
      </x:c>
      <x:c r="Q50" s="17" t="n">
        <x:v>1.798931822032855</x:v>
      </x:c>
      <x:c r="R50" s="17" t="n">
        <x:v>1.7989318220328547</x:v>
      </x:c>
      <x:c r="S50" s="14" t="str">
        <x:v>feasible_above_1p2</x:v>
      </x:c>
      <x:c r="T50" s="14" t="n">
        <x:v>0.7090732500302815</x:v>
      </x:c>
      <x:c r="U50" s="17" t="n">
        <x:v>9.999999999999998e-8</x:v>
      </x:c>
      <x:c r="V50" s="17" t="n">
        <x:v>129.99999999999997</x:v>
      </x:c>
      <x:c r="W50" s="17" t="n">
        <x:v>101.32500000000003</x:v>
      </x:c>
      <x:c r="X50" s="17" t="n">
        <x:v>247.20534892626998</x:v>
      </x:c>
      <x:c r="Y50" s="17" t="n">
        <x:v>246.55734109589798</x:v>
      </x:c>
      <x:c r="Z50" s="17" t="n">
        <x:v>246.55734109589798</x:v>
      </x:c>
      <x:c r="AA50" s="17" t="n">
        <x:v>231.325</x:v>
      </x:c>
      <x:c r="AB50" s="17" t="n">
        <x:v>231.32500000000005</x:v>
      </x:c>
      <x:c r="AC50" s="14" t="n">
        <x:v>0.07235350944522026</x:v>
      </x:c>
      <x:c r="AD50" s="17" t="n">
        <x:v>21.278183166873536</x:v>
      </x:c>
      <x:c r="AE50" s="19" t="n">
        <x:v>18.17254403383913</x:v>
      </x:c>
      <x:c r="AF50" s="19" t="n">
        <x:v>8.900243570245394</x:v>
      </x:c>
      <x:c r="AG50" s="17" t="n">
        <x:v>0.5604227947549169</x:v>
      </x:c>
      <x:c r="AH50" s="14" t="n">
        <x:v>0</x:v>
      </x:c>
      <x:c r="AI50" s="14" t="n">
        <x:v>0</x:v>
      </x:c>
      <x:c r="AJ50" s="14" t="str">
        <x:v>gas_phase_noncondensing</x:v>
      </x:c>
      <x:c r="AK50" s="14" t="n">
        <x:v>1.0000398963074466</x:v>
      </x:c>
      <x:c r="AL50" s="14" t="n">
        <x:v>0.0004739099084794936</x:v>
      </x:c>
      <x:c r="AM50" s="14" t="str">
        <x:v>condensing_or_supersaturated</x:v>
      </x:c>
      <x:c r="AN50" s="14"/>
      <x:c r="AO50" s="14"/>
      <x:c r="AP50" s="14" t="str">
        <x:v>not_applicable_ideal_connection</x:v>
      </x:c>
      <x:c r="AQ50" s="14" t="str">
        <x:v>not_applicable_zero_target</x:v>
      </x:c>
      <x:c r="AR50" s="14" t="str">
        <x:v>candidate_feasible_gas_phase_screen</x:v>
      </x:c>
      <x:c r="AS50" s="14" t="str"/>
      <x:c r="AT50" s="14" t="n">
        <x:f t="shared" si="4">IFERROR(MAX(0,AG50-1)*100,"")</x:f>
        <x:v>0</x:v>
      </x:c>
      <x:c r="AU50" s="14" t="n">
        <x:f t="shared" si="5">IFERROR(AH50*1000000,"")</x:f>
        <x:v>0</x:v>
      </x:c>
      <x:c r="AV50" s="14" t="n">
        <x:f t="shared" si="6">IFERROR(AI50*1000000,"")</x:f>
        <x:v>0</x:v>
      </x:c>
      <x:c r="AW50" s="14" t="n">
        <x:f t="shared" si="7">IFERROR((AB50-AA50)*1000,"")</x:f>
        <x:v>5.6843418860808015e-11</x:v>
      </x:c>
      <x:c r="AX50"/>
      <x:c r="AY50" s="57" t="n">
        <x:v>231.325</x:v>
      </x:c>
      <x:c r="AZ50" s="57" t="n">
        <x:v>231.325</x:v>
      </x:c>
      <x:c r="BA50" s="57" t="n">
        <x:v>101.32500000000003</x:v>
      </x:c>
      <x:c r="BB50" s="57" t="n">
        <x:f>IFERROR(AZ50-BA50,"")</x:f>
        <x:v>129.99999999999994</x:v>
      </x:c>
      <x:c r="BC50" s="57" t="n">
        <x:f>IFERROR(AY50-BH50,"")</x:f>
        <x:v>130</x:v>
      </x:c>
      <x:c r="BD50" s="57" t="n">
        <x:f>IFERROR(AB50-W50,"")</x:f>
        <x:v>130</x:v>
      </x:c>
      <x:c r="BE50" s="57" t="n">
        <x:f>IFERROR(AB50-AY50,"")</x:f>
        <x:v>5.684341886080802e-14</x:v>
      </x:c>
      <x:c r="BF50" s="57" t="n">
        <x:f>IFERROR(AY50-AZ50,"")</x:f>
        <x:v>0</x:v>
      </x:c>
      <x:c r="BG50" s="57" t="n">
        <x:f>IFERROR(BA50-W50,"")</x:f>
        <x:v>0</x:v>
      </x:c>
      <x:c r="BH50" s="57" t="n">
        <x:v>101.325</x:v>
      </x:c>
      <x:c r="BI50" s="56" t="str">
        <x:v>RouteA_Focused_External240kW_VSH_PassiveCEGR_fresh_air_fixed_4J_600s_20260820.mat</x:v>
      </x:c>
      <x:c r="BJ50" s="56" t="str">
        <x:v>压力：kPa abs；压差/等式偏差：kPa；流量：kg/s</x:v>
      </x:c>
      <x:c r="BK50" s="56" t="str">
        <x:v>p_stack_out=cathode outlet chamber; p_split=ideal tee; p_EGR_up/down=cEGR valve ports; p_comp_in=compressor inlet mixer; p_ambient=environment reservoir</x:v>
      </x:c>
      <x:c r="BL50" s="56" t="str"/>
      <x:c r="BM50" s="56"/>
    </x:row>
    <x:row r="51">
      <x:c r="A51" s="14" t="str">
        <x:v>新鲜空气不变</x:v>
      </x:c>
      <x:c r="B51" s="14" t="str">
        <x:v>external240_fresh_air_fixed_j1p0_R0p100</x:v>
      </x:c>
      <x:c r="C51" s="15" t="b">
        <x:v>1</x:v>
      </x:c>
      <x:c r="D51" s="15" t="b">
        <x:v>1</x:v>
      </x:c>
      <x:c r="E51" s="16" t="n">
        <x:v>1</x:v>
      </x:c>
      <x:c r="F51" s="16" t="n">
        <x:v>1.8</x:v>
      </x:c>
      <x:c r="G51" s="17" t="n">
        <x:v>0.1</x:v>
      </x:c>
      <x:c r="H51" s="17" t="n">
        <x:v>0.09999999999997598</x:v>
      </x:c>
      <x:c r="I51" s="17" t="n">
        <x:v>-2.4022450695326825e-14</x:v>
      </x:c>
      <x:c r="J51" s="17" t="n">
        <x:v>0.005000000000000001</x:v>
      </x:c>
      <x:c r="K51" s="17" t="n">
        <x:v>0.09090909090909091</x:v>
      </x:c>
      <x:c r="L51" s="17" t="n">
        <x:v>0.09090909090907107</x:v>
      </x:c>
      <x:c r="M51" s="17" t="n">
        <x:v>0.09053976067828731</x:v>
      </x:c>
      <x:c r="N51" s="18" t="n">
        <x:v>0.014687336812016163</x:v>
      </x:c>
      <x:c r="O51" s="27" t="n">
        <x:f>IF(G51=0,P51,IFERROR(N51/G51,""))</x:f>
        <x:v>0.14687336812016163</x:v>
      </x:c>
      <x:c r="P51" s="27" t="n">
        <x:v>0.1475324073311599</x:v>
      </x:c>
      <x:c r="Q51" s="17" t="n">
        <x:v>1.878474556079356</x:v>
      </x:c>
      <x:c r="R51" s="17" t="n">
        <x:v>1.8784745560793068</x:v>
      </x:c>
      <x:c r="S51" s="14" t="str">
        <x:v>feasible_above_1p2</x:v>
      </x:c>
      <x:c r="T51" s="14" t="n">
        <x:v>0.7090452940898984</x:v>
      </x:c>
      <x:c r="U51" s="17" t="n">
        <x:v>0.04398510740717249</x:v>
      </x:c>
      <x:c r="V51" s="17" t="n">
        <x:v>130</x:v>
      </x:c>
      <x:c r="W51" s="17" t="n">
        <x:v>101.32500000000002</x:v>
      </x:c>
      <x:c r="X51" s="17" t="n">
        <x:v>249.3732694349417</x:v>
      </x:c>
      <x:c r="Y51" s="17" t="n">
        <x:v>248.58918086911802</x:v>
      </x:c>
      <x:c r="Z51" s="17" t="n">
        <x:v>248.5891808691181</x:v>
      </x:c>
      <x:c r="AA51" s="17" t="n">
        <x:v>231.325</x:v>
      </x:c>
      <x:c r="AB51" s="17" t="n">
        <x:v>231.32500000000002</x:v>
      </x:c>
      <x:c r="AC51" s="14" t="n">
        <x:v>0.1951483822188412</x:v>
      </x:c>
      <x:c r="AD51" s="17" t="n">
        <x:v>20.02790251512403</x:v>
      </x:c>
      <x:c r="AE51" s="19" t="n">
        <x:v>23.968180625594755</x:v>
      </x:c>
      <x:c r="AF51" s="19" t="n">
        <x:v>-0.8771167670437876</x:v>
      </x:c>
      <x:c r="AG51" s="17" t="n">
        <x:v>1.0539278780068573</x:v>
      </x:c>
      <x:c r="AH51" s="14" t="n">
        <x:v>1.1957378115517438e-7</x:v>
      </x:c>
      <x:c r="AI51" s="14" t="n">
        <x:v>0.000007174426869310463</x:v>
      </x:c>
      <x:c r="AJ51" s="14" t="str">
        <x:v>condensing_or_supersaturated</x:v>
      </x:c>
      <x:c r="AK51" s="14" t="n">
        <x:v>1.0000565907508883</x:v>
      </x:c>
      <x:c r="AL51" s="14" t="n">
        <x:v>0.0005303354408029597</x:v>
      </x:c>
      <x:c r="AM51" s="14" t="str">
        <x:v>condensing_or_supersaturated</x:v>
      </x:c>
      <x:c r="AN51" s="14"/>
      <x:c r="AO51" s="14"/>
      <x:c r="AP51" s="14" t="str">
        <x:v>not_applicable_ideal_connection</x:v>
      </x:c>
      <x:c r="AQ51" s="14" t="str">
        <x:v>within_control_tolerance</x:v>
      </x:c>
      <x:c r="AR51" s="14" t="str">
        <x:v>not_acceptable_mixer_condensation</x:v>
      </x:c>
      <x:c r="AS51" s="14" t="str"/>
      <x:c r="AT51" s="14" t="n">
        <x:f t="shared" si="4">IFERROR(MAX(0,AG51-1)*100,"")</x:f>
        <x:v>5.392787800685728</x:v>
      </x:c>
      <x:c r="AU51" s="14" t="n">
        <x:f t="shared" si="5">IFERROR(AH51*1000000,"")</x:f>
        <x:v>0.11957378115517438</x:v>
      </x:c>
      <x:c r="AV51" s="14" t="n">
        <x:f t="shared" si="6">IFERROR(AI51*1000000,"")</x:f>
        <x:v>7.174426869310463</x:v>
      </x:c>
      <x:c r="AW51" s="14" t="n">
        <x:f t="shared" si="7">IFERROR((AB51-AA51)*1000,"")</x:f>
        <x:v>2.8421709430404007e-11</x:v>
      </x:c>
      <x:c r="AX51"/>
      <x:c r="AY51" s="57" t="n">
        <x:v>231.325</x:v>
      </x:c>
      <x:c r="AZ51" s="57" t="n">
        <x:v>231.325</x:v>
      </x:c>
      <x:c r="BA51" s="57" t="n">
        <x:v>101.32500000000002</x:v>
      </x:c>
      <x:c r="BB51" s="57" t="n">
        <x:f>IFERROR(AZ51-BA51,"")</x:f>
        <x:v>129.99999999999997</x:v>
      </x:c>
      <x:c r="BC51" s="57" t="n">
        <x:f>IFERROR(AY51-BH51,"")</x:f>
        <x:v>130</x:v>
      </x:c>
      <x:c r="BD51" s="57" t="n">
        <x:f>IFERROR(AB51-W51,"")</x:f>
        <x:v>130</x:v>
      </x:c>
      <x:c r="BE51" s="57" t="n">
        <x:f>IFERROR(AB51-AY51,"")</x:f>
        <x:v>2.842170943040401e-14</x:v>
      </x:c>
      <x:c r="BF51" s="57" t="n">
        <x:f>IFERROR(AY51-AZ51,"")</x:f>
        <x:v>0</x:v>
      </x:c>
      <x:c r="BG51" s="57" t="n">
        <x:f>IFERROR(BA51-W51,"")</x:f>
        <x:v>0</x:v>
      </x:c>
      <x:c r="BH51" s="57" t="n">
        <x:v>101.325</x:v>
      </x:c>
      <x:c r="BI51" s="56" t="str">
        <x:v>RouteA_Focused_External240kW_VSH_PassiveCEGR_fresh_air_fixed_4J_600s_20260820.mat</x:v>
      </x:c>
      <x:c r="BJ51" s="56" t="str">
        <x:v>压力：kPa abs；压差/等式偏差：kPa；流量：kg/s</x:v>
      </x:c>
      <x:c r="BK51" s="56" t="str">
        <x:v>p_stack_out=cathode outlet chamber; p_split=ideal tee; p_EGR_up/down=cEGR valve ports; p_comp_in=compressor inlet mixer; p_ambient=environment reservoir</x:v>
      </x:c>
      <x:c r="BL51" s="56" t="str"/>
      <x:c r="BM51" s="56"/>
    </x:row>
    <x:row r="52">
      <x:c r="A52" s="14" t="str">
        <x:v>新鲜空气不变</x:v>
      </x:c>
      <x:c r="B52" s="14" t="str">
        <x:v>external240_fresh_air_fixed_j1p0_R0p500</x:v>
      </x:c>
      <x:c r="C52" s="15" t="b">
        <x:v>1</x:v>
      </x:c>
      <x:c r="D52" s="15" t="b">
        <x:v>1</x:v>
      </x:c>
      <x:c r="E52" s="16" t="n">
        <x:v>1</x:v>
      </x:c>
      <x:c r="F52" s="16" t="n">
        <x:v>1.8</x:v>
      </x:c>
      <x:c r="G52" s="17" t="n">
        <x:v>0.5</x:v>
      </x:c>
      <x:c r="H52" s="17" t="n">
        <x:v>0.5000000197871682</x:v>
      </x:c>
      <x:c r="I52" s="17" t="n">
        <x:v>1.9787168237250796e-8</x:v>
      </x:c>
      <x:c r="J52" s="17" t="n">
        <x:v>0.025</x:v>
      </x:c>
      <x:c r="K52" s="17" t="n">
        <x:v>0.3333333333333333</x:v>
      </x:c>
      <x:c r="L52" s="17" t="n">
        <x:v>0.3333333421276291</x:v>
      </x:c>
      <x:c r="M52" s="17" t="n">
        <x:v>0.3327235065334951</x:v>
      </x:c>
      <x:c r="N52" s="18" t="n">
        <x:v>0.07343668675735164</x:v>
      </x:c>
      <x:c r="O52" s="27" t="n">
        <x:f>IF(G52=0,P52,IFERROR(N52/G52,""))</x:f>
        <x:v>0.14687337351470328</x:v>
      </x:c>
      <x:c r="P52" s="27" t="n">
        <x:v>0.1472771651807254</x:v>
      </x:c>
      <x:c r="Q52" s="17" t="n">
        <x:v>2.1973301712718296</x:v>
      </x:c>
      <x:c r="R52" s="17" t="n">
        <x:v>2.1973300919241674</x:v>
      </x:c>
      <x:c r="S52" s="14" t="str">
        <x:v>feasible_above_1p2</x:v>
      </x:c>
      <x:c r="T52" s="14" t="n">
        <x:v>0.7089277953436168</x:v>
      </x:c>
      <x:c r="U52" s="17" t="n">
        <x:v>0.22179814171814266</x:v>
      </x:c>
      <x:c r="V52" s="17" t="n">
        <x:v>129.99999995418324</x:v>
      </x:c>
      <x:c r="W52" s="17" t="n">
        <x:v>101.32500000000002</x:v>
      </x:c>
      <x:c r="X52" s="17" t="n">
        <x:v>259.50767847102105</x:v>
      </x:c>
      <x:c r="Y52" s="17" t="n">
        <x:v>258.0496646652141</x:v>
      </x:c>
      <x:c r="Z52" s="17" t="n">
        <x:v>258.04966466521415</x:v>
      </x:c>
      <x:c r="AA52" s="17" t="n">
        <x:v>231.325</x:v>
      </x:c>
      <x:c r="AB52" s="17" t="n">
        <x:v>231.32499995418326</x:v>
      </x:c>
      <x:c r="AC52" s="14" t="n">
        <x:v>0.5179860482583896</x:v>
      </x:c>
      <x:c r="AD52" s="17" t="n">
        <x:v>16.804896461099446</x:v>
      </x:c>
      <x:c r="AE52" s="19" t="n">
        <x:v>37.80222762915088</x:v>
      </x:c>
      <x:c r="AF52" s="19" t="n">
        <x:v>-4.093555015798785</x:v>
      </x:c>
      <x:c r="AG52" s="17" t="n">
        <x:v>1.2442662703684082</x:v>
      </x:c>
      <x:c r="AH52" s="14" t="n">
        <x:v>0.0000011480965635082623</x:v>
      </x:c>
      <x:c r="AI52" s="14" t="n">
        <x:v>0.00006888579381049575</x:v>
      </x:c>
      <x:c r="AJ52" s="14" t="str">
        <x:v>condensing_or_supersaturated</x:v>
      </x:c>
      <x:c r="AK52" s="14" t="n">
        <x:v>1.0001851310441092</x:v>
      </x:c>
      <x:c r="AL52" s="14" t="n">
        <x:v>0.0007722132991386508</x:v>
      </x:c>
      <x:c r="AM52" s="14" t="str">
        <x:v>condensing_or_supersaturated</x:v>
      </x:c>
      <x:c r="AN52" s="14"/>
      <x:c r="AO52" s="14"/>
      <x:c r="AP52" s="14" t="str">
        <x:v>not_applicable_ideal_connection</x:v>
      </x:c>
      <x:c r="AQ52" s="14" t="str">
        <x:v>within_control_tolerance</x:v>
      </x:c>
      <x:c r="AR52" s="14" t="str">
        <x:v>not_acceptable_mixer_condensation</x:v>
      </x:c>
      <x:c r="AS52" s="14" t="str"/>
      <x:c r="AT52" s="14" t="n">
        <x:f t="shared" si="4">IFERROR(MAX(0,AG52-1)*100,"")</x:f>
        <x:v>24.42662703684082</x:v>
      </x:c>
      <x:c r="AU52" s="14" t="n">
        <x:f t="shared" si="5">IFERROR(AH52*1000000,"")</x:f>
        <x:v>1.1480965635082623</x:v>
      </x:c>
      <x:c r="AV52" s="14" t="n">
        <x:f t="shared" si="6">IFERROR(AI52*1000000,"")</x:f>
        <x:v>68.88579381049574</x:v>
      </x:c>
      <x:c r="AW52" s="14" t="n">
        <x:f t="shared" si="7">IFERROR((AB52-AA52)*1000,"")</x:f>
        <x:v>-0.00004581673351822246</x:v>
      </x:c>
      <x:c r="AX52"/>
      <x:c r="AY52" s="57" t="n">
        <x:v>231.32499995418317</x:v>
      </x:c>
      <x:c r="AZ52" s="57" t="n">
        <x:v>231.32499995418317</x:v>
      </x:c>
      <x:c r="BA52" s="57" t="n">
        <x:v>101.32500000000002</x:v>
      </x:c>
      <x:c r="BB52" s="57" t="n">
        <x:f>IFERROR(AZ52-BA52,"")</x:f>
        <x:v>129.99999995418315</x:v>
      </x:c>
      <x:c r="BC52" s="57" t="n">
        <x:f>IFERROR(AY52-BH52,"")</x:f>
        <x:v>129.99999995418318</x:v>
      </x:c>
      <x:c r="BD52" s="57" t="n">
        <x:f>IFERROR(AB52-W52,"")</x:f>
        <x:v>129.99999995418324</x:v>
      </x:c>
      <x:c r="BE52" s="57" t="n">
        <x:f>IFERROR(AB52-AY52,"")</x:f>
        <x:v>8.526512829121202e-14</x:v>
      </x:c>
      <x:c r="BF52" s="57" t="n">
        <x:f>IFERROR(AY52-AZ52,"")</x:f>
        <x:v>0</x:v>
      </x:c>
      <x:c r="BG52" s="57" t="n">
        <x:f>IFERROR(BA52-W52,"")</x:f>
        <x:v>0</x:v>
      </x:c>
      <x:c r="BH52" s="57" t="n">
        <x:v>101.325</x:v>
      </x:c>
      <x:c r="BI52" s="56" t="str">
        <x:v>RouteA_Focused_External240kW_VSH_PassiveCEGR_fresh_air_fixed_4J_600s_20260820.mat</x:v>
      </x:c>
      <x:c r="BJ52" s="56" t="str">
        <x:v>压力：kPa abs；压差/等式偏差：kPa；流量：kg/s</x:v>
      </x:c>
      <x:c r="BK52" s="56" t="str">
        <x:v>p_stack_out=cathode outlet chamber; p_split=ideal tee; p_EGR_up/down=cEGR valve ports; p_comp_in=compressor inlet mixer; p_ambient=environment reservoir</x:v>
      </x:c>
      <x:c r="BL52" s="56" t="str"/>
      <x:c r="BM52" s="56"/>
    </x:row>
    <x:row r="53">
      <x:c r="A53" s="14" t="str">
        <x:v>新鲜空气不变</x:v>
      </x:c>
      <x:c r="B53" s="14" t="str">
        <x:v>external240_fresh_air_fixed_j1p0_R1p000</x:v>
      </x:c>
      <x:c r="C53" s="15" t="b">
        <x:v>1</x:v>
      </x:c>
      <x:c r="D53" s="15" t="b">
        <x:v>1</x:v>
      </x:c>
      <x:c r="E53" s="16" t="n">
        <x:v>1</x:v>
      </x:c>
      <x:c r="F53" s="16" t="n">
        <x:v>1.8</x:v>
      </x:c>
      <x:c r="G53" s="17" t="n">
        <x:v>1</x:v>
      </x:c>
      <x:c r="H53" s="17" t="n">
        <x:v>0.9999821687336925</x:v>
      </x:c>
      <x:c r="I53" s="17" t="n">
        <x:v>-0.00001783126630749976</x:v>
      </x:c>
      <x:c r="J53" s="17" t="n">
        <x:v>0.05</x:v>
      </x:c>
      <x:c r="K53" s="17" t="n">
        <x:v>0.5</x:v>
      </x:c>
      <x:c r="L53" s="17" t="n">
        <x:v>0.4999955421389348</x:v>
      </x:c>
      <x:c r="M53" s="17" t="n">
        <x:v>0.4999465990401107</x:v>
      </x:c>
      <x:c r="N53" s="18" t="n">
        <x:v>0.14687060575815994</x:v>
      </x:c>
      <x:c r="O53" s="27" t="n">
        <x:f>IF(G53=0,P53,IFERROR(N53/G53,""))</x:f>
        <x:v>0.14687060575815994</x:v>
      </x:c>
      <x:c r="P53" s="27" t="n">
        <x:v>0.14690198123442905</x:v>
      </x:c>
      <x:c r="Q53" s="17" t="n">
        <x:v>2.59773440053731</x:v>
      </x:c>
      <x:c r="R53" s="17" t="n">
        <x:v>2.597723946337799</x:v>
      </x:c>
      <x:c r="S53" s="14" t="str">
        <x:v>feasible_above_1p2</x:v>
      </x:c>
      <x:c r="T53" s="14" t="n">
        <x:v>0.7087982652005672</x:v>
      </x:c>
      <x:c r="U53" s="17" t="n">
        <x:v>0.4457218308757186</x:v>
      </x:c>
      <x:c r="V53" s="17" t="n">
        <x:v>130.00000041908848</x:v>
      </x:c>
      <x:c r="W53" s="17" t="n">
        <x:v>101.32500000000002</x:v>
      </x:c>
      <x:c r="X53" s="17" t="n">
        <x:v>275.7289880400343</x:v>
      </x:c>
      <x:c r="Y53" s="17" t="n">
        <x:v>273.1370122012012</x:v>
      </x:c>
      <x:c r="Z53" s="17" t="n">
        <x:v>273.1370122012012</x:v>
      </x:c>
      <x:c r="AA53" s="17" t="n">
        <x:v>231.325</x:v>
      </x:c>
      <x:c r="AB53" s="17" t="n">
        <x:v>231.32500041908852</x:v>
      </x:c>
      <x:c r="AC53" s="14" t="n">
        <x:v>0.7451232753611451</x:v>
      </x:c>
      <x:c r="AD53" s="17" t="n">
        <x:v>14.687701405915854</x:v>
      </x:c>
      <x:c r="AE53" s="19" t="n">
        <x:v>44.77255991764912</x:v>
      </x:c>
      <x:c r="AF53" s="19" t="n">
        <x:v>-3.538966168887214</x:v>
      </x:c>
      <x:c r="AG53" s="17" t="n">
        <x:v>1.1972665214877323</x:v>
      </x:c>
      <x:c r="AH53" s="14" t="n">
        <x:v>0.000001319971813332737</x:v>
      </x:c>
      <x:c r="AI53" s="14" t="n">
        <x:v>0.00007919830879996422</x:v>
      </x:c>
      <x:c r="AJ53" s="14" t="str">
        <x:v>condensing_or_supersaturated</x:v>
      </x:c>
      <x:c r="AK53" s="14" t="n">
        <x:v>1.0005925693304214</x:v>
      </x:c>
      <x:c r="AL53" s="14" t="n">
        <x:v>0.001123960264155864</x:v>
      </x:c>
      <x:c r="AM53" s="14" t="str">
        <x:v>condensing_or_supersaturated</x:v>
      </x:c>
      <x:c r="AN53" s="14"/>
      <x:c r="AO53" s="14"/>
      <x:c r="AP53" s="14" t="str">
        <x:v>not_applicable_ideal_connection</x:v>
      </x:c>
      <x:c r="AQ53" s="14" t="str">
        <x:v>within_control_tolerance</x:v>
      </x:c>
      <x:c r="AR53" s="14" t="str">
        <x:v>not_acceptable_mixer_condensation</x:v>
      </x:c>
      <x:c r="AS53" s="14" t="str"/>
      <x:c r="AT53" s="14" t="n">
        <x:f t="shared" si="4">IFERROR(MAX(0,AG53-1)*100,"")</x:f>
        <x:v>19.726652148773226</x:v>
      </x:c>
      <x:c r="AU53" s="14" t="n">
        <x:f t="shared" si="5">IFERROR(AH53*1000000,"")</x:f>
        <x:v>1.319971813332737</x:v>
      </x:c>
      <x:c r="AV53" s="14" t="n">
        <x:f t="shared" si="6">IFERROR(AI53*1000000,"")</x:f>
        <x:v>79.19830879996422</x:v>
      </x:c>
      <x:c r="AW53" s="14" t="n">
        <x:f t="shared" si="7">IFERROR((AB53-AA53)*1000,"")</x:f>
        <x:v>0.00041908853631866805</x:v>
      </x:c>
      <x:c r="AX53"/>
      <x:c r="AY53" s="57" t="n">
        <x:v>231.32500041908844</x:v>
      </x:c>
      <x:c r="AZ53" s="57" t="n">
        <x:v>231.32500041908844</x:v>
      </x:c>
      <x:c r="BA53" s="57" t="n">
        <x:v>101.32500000000002</x:v>
      </x:c>
      <x:c r="BB53" s="57" t="n">
        <x:f>IFERROR(AZ53-BA53,"")</x:f>
        <x:v>130.00000041908842</x:v>
      </x:c>
      <x:c r="BC53" s="57" t="n">
        <x:f>IFERROR(AY53-BH53,"")</x:f>
        <x:v>130.00000041908845</x:v>
      </x:c>
      <x:c r="BD53" s="57" t="n">
        <x:f>IFERROR(AB53-W53,"")</x:f>
        <x:v>130.0000004190885</x:v>
      </x:c>
      <x:c r="BE53" s="57" t="n">
        <x:f>IFERROR(AB53-AY53,"")</x:f>
        <x:v>8.526512829121202e-14</x:v>
      </x:c>
      <x:c r="BF53" s="57" t="n">
        <x:f>IFERROR(AY53-AZ53,"")</x:f>
        <x:v>0</x:v>
      </x:c>
      <x:c r="BG53" s="57" t="n">
        <x:f>IFERROR(BA53-W53,"")</x:f>
        <x:v>0</x:v>
      </x:c>
      <x:c r="BH53" s="57" t="n">
        <x:v>101.325</x:v>
      </x:c>
      <x:c r="BI53" s="56" t="str">
        <x:v>RouteA_Focused_External240kW_VSH_PassiveCEGR_fresh_air_fixed_4J_600s_20260820.mat</x:v>
      </x:c>
      <x:c r="BJ53" s="56" t="str">
        <x:v>压力：kPa abs；压差/等式偏差：kPa；流量：kg/s</x:v>
      </x:c>
      <x:c r="BK53" s="56" t="str">
        <x:v>p_stack_out=cathode outlet chamber; p_split=ideal tee; p_EGR_up/down=cEGR valve ports; p_comp_in=compressor inlet mixer; p_ambient=environment reservoir</x:v>
      </x:c>
      <x:c r="BL53" s="56" t="str"/>
      <x:c r="BM53" s="56"/>
    </x:row>
    <x:row r="54">
      <x:c r="A54" s="14" t="str">
        <x:v>新鲜空气不变</x:v>
      </x:c>
      <x:c r="B54" s="14" t="str">
        <x:v>external240_fresh_air_fixed_j1p0_R2p000</x:v>
      </x:c>
      <x:c r="C54" s="15" t="b">
        <x:v>1</x:v>
      </x:c>
      <x:c r="D54" s="15" t="b">
        <x:v>1</x:v>
      </x:c>
      <x:c r="E54" s="16" t="n">
        <x:v>1</x:v>
      </x:c>
      <x:c r="F54" s="16" t="n">
        <x:v>1.8</x:v>
      </x:c>
      <x:c r="G54" s="17" t="n">
        <x:v>2</x:v>
      </x:c>
      <x:c r="H54" s="17" t="n">
        <x:v>1.9944578415757428</x:v>
      </x:c>
      <x:c r="I54" s="17" t="n">
        <x:v>-0.005542158424257204</x:v>
      </x:c>
      <x:c r="J54" s="17" t="n">
        <x:v>0.1</x:v>
      </x:c>
      <x:c r="K54" s="17" t="n">
        <x:v>0.6666666666666666</x:v>
      </x:c>
      <x:c r="L54" s="17" t="n">
        <x:v>0.6660496950536474</x:v>
      </x:c>
      <x:c r="M54" s="17" t="n">
        <x:v>0.6669194078094586</x:v>
      </x:c>
      <x:c r="N54" s="18" t="n">
        <x:v>0.292942875260205</x:v>
      </x:c>
      <x:c r="O54" s="27" t="n">
        <x:f>IF(G54=0,P54,IFERROR(N54/G54,""))</x:f>
        <x:v>0.1464714376301025</x:v>
      </x:c>
      <x:c r="P54" s="27" t="n">
        <x:v>0.1463049136478963</x:v>
      </x:c>
      <x:c r="Q54" s="17" t="n">
        <x:v>3.4641141082835123</x:v>
      </x:c>
      <x:c r="R54" s="17" t="n">
        <x:v>3.462299489591417</x:v>
      </x:c>
      <x:c r="S54" s="14" t="str">
        <x:v>feasible_above_1p2</x:v>
      </x:c>
      <x:c r="T54" s="14" t="n">
        <x:v>0.7097151911045902</x:v>
      </x:c>
      <x:c r="U54" s="17" t="n">
        <x:v>0.8739007835269027</x:v>
      </x:c>
      <x:c r="V54" s="17" t="n">
        <x:v>129.9999099730202</x:v>
      </x:c>
      <x:c r="W54" s="17" t="n">
        <x:v>101.32500000000002</x:v>
      </x:c>
      <x:c r="X54" s="17" t="n">
        <x:v>320.62655928857674</x:v>
      </x:c>
      <x:c r="Y54" s="17" t="n">
        <x:v>314.8161464310865</x:v>
      </x:c>
      <x:c r="Z54" s="17" t="n">
        <x:v>314.8161464310866</x:v>
      </x:c>
      <x:c r="AA54" s="17" t="n">
        <x:v>231.325</x:v>
      </x:c>
      <x:c r="AB54" s="17" t="n">
        <x:v>231.32490997302028</x:v>
      </x:c>
      <x:c r="AC54" s="14" t="n">
        <x:v>0.9064303228308027</x:v>
      </x:c>
      <x:c r="AD54" s="17" t="n">
        <x:v>12.917311460183843</x:v>
      </x:c>
      <x:c r="AE54" s="19" t="n">
        <x:v>44.044629153280994</x:v>
      </x:c>
      <x:c r="AF54" s="19" t="n">
        <x:v>-7.03646067345511</x:v>
      </x:c>
      <x:c r="AG54" s="17" t="n">
        <x:v>1.4268185391619435</x:v>
      </x:c>
      <x:c r="AH54" s="14" t="n">
        <x:v>0.000002756462911819262</x:v>
      </x:c>
      <x:c r="AI54" s="14" t="n">
        <x:v>0.00016538777470915573</x:v>
      </x:c>
      <x:c r="AJ54" s="14" t="str">
        <x:v>condensing_or_supersaturated</x:v>
      </x:c>
      <x:c r="AK54" s="14" t="n">
        <x:v>1.0011926173091925</x:v>
      </x:c>
      <x:c r="AL54" s="14" t="n">
        <x:v>0.0016501512571697318</x:v>
      </x:c>
      <x:c r="AM54" s="14" t="str">
        <x:v>condensing_or_supersaturated</x:v>
      </x:c>
      <x:c r="AN54" s="14"/>
      <x:c r="AO54" s="14"/>
      <x:c r="AP54" s="14" t="str">
        <x:v>not_applicable_ideal_connection</x:v>
      </x:c>
      <x:c r="AQ54" s="14" t="str">
        <x:v>within_control_tolerance</x:v>
      </x:c>
      <x:c r="AR54" s="14" t="str">
        <x:v>not_acceptable_mixer_condensation</x:v>
      </x:c>
      <x:c r="AS54" s="14" t="str"/>
      <x:c r="AT54" s="14" t="n">
        <x:f t="shared" si="4">IFERROR(MAX(0,AG54-1)*100,"")</x:f>
        <x:v>42.68185391619434</x:v>
      </x:c>
      <x:c r="AU54" s="14" t="n">
        <x:f t="shared" si="5">IFERROR(AH54*1000000,"")</x:f>
        <x:v>2.7564629118192623</x:v>
      </x:c>
      <x:c r="AV54" s="14" t="n">
        <x:f t="shared" si="6">IFERROR(AI54*1000000,"")</x:f>
        <x:v>165.38777470915574</x:v>
      </x:c>
      <x:c r="AW54" s="14" t="n">
        <x:f t="shared" si="7">IFERROR((AB54-AA54)*1000,"")</x:f>
        <x:v>-0.09002697970572626</x:v>
      </x:c>
      <x:c r="AX54"/>
      <x:c r="AY54" s="57" t="n">
        <x:v>231.3249099730202</x:v>
      </x:c>
      <x:c r="AZ54" s="57" t="n">
        <x:v>231.3249099730202</x:v>
      </x:c>
      <x:c r="BA54" s="57" t="n">
        <x:v>101.32500000000002</x:v>
      </x:c>
      <x:c r="BB54" s="57" t="n">
        <x:f>IFERROR(AZ54-BA54,"")</x:f>
        <x:v>129.99990997302018</x:v>
      </x:c>
      <x:c r="BC54" s="57" t="n">
        <x:f>IFERROR(AY54-BH54,"")</x:f>
        <x:v>129.99990997302018</x:v>
      </x:c>
      <x:c r="BD54" s="57" t="n">
        <x:f>IFERROR(AB54-W54,"")</x:f>
        <x:v>129.99990997302027</x:v>
      </x:c>
      <x:c r="BE54" s="57" t="n">
        <x:f>IFERROR(AB54-AY54,"")</x:f>
        <x:v>8.526512829121202e-14</x:v>
      </x:c>
      <x:c r="BF54" s="57" t="n">
        <x:f>IFERROR(AY54-AZ54,"")</x:f>
        <x:v>0</x:v>
      </x:c>
      <x:c r="BG54" s="57" t="n">
        <x:f>IFERROR(BA54-W54,"")</x:f>
        <x:v>0</x:v>
      </x:c>
      <x:c r="BH54" s="57" t="n">
        <x:v>101.325</x:v>
      </x:c>
      <x:c r="BI54" s="56" t="str">
        <x:v>RouteA_Focused_External240kW_VSH_PassiveCEGR_fresh_air_fixed_4J_600s_20260820.mat</x:v>
      </x:c>
      <x:c r="BJ54" s="56" t="str">
        <x:v>压力：kPa abs；压差/等式偏差：kPa；流量：kg/s</x:v>
      </x:c>
      <x:c r="BK54" s="56" t="str">
        <x:v>p_stack_out=cathode outlet chamber; p_split=ideal tee; p_EGR_up/down=cEGR valve ports; p_comp_in=compressor inlet mixer; p_ambient=environment reservoir</x:v>
      </x:c>
      <x:c r="BL54" s="56" t="str"/>
      <x:c r="BM54" s="56"/>
    </x:row>
    <x:row r="55">
      <x:c r="A55" s="14" t="str">
        <x:v>新鲜空气不变</x:v>
      </x:c>
      <x:c r="B55" s="14" t="str">
        <x:v>external240_fresh_air_fixed_j1p0_R4p000</x:v>
      </x:c>
      <x:c r="C55" s="15" t="b">
        <x:v>1</x:v>
      </x:c>
      <x:c r="D55" s="15" t="b">
        <x:v>0</x:v>
      </x:c>
      <x:c r="E55" s="16" t="n">
        <x:v>1</x:v>
      </x:c>
      <x:c r="F55" s="16" t="n">
        <x:v>1.8</x:v>
      </x:c>
      <x:c r="G55" s="17" t="n">
        <x:v>4</x:v>
      </x:c>
      <x:c r="H55" s="17" t="n">
        <x:v>2.3121555299525154</x:v>
      </x:c>
      <x:c r="I55" s="17" t="n">
        <x:v>-1.6878444700474846</x:v>
      </x:c>
      <x:c r="J55" s="17" t="n">
        <x:v>0.2</x:v>
      </x:c>
      <x:c r="K55" s="17" t="n">
        <x:v>0.8</x:v>
      </x:c>
      <x:c r="L55" s="17" t="n">
        <x:v>0.698081810785517</x:v>
      </x:c>
      <x:c r="M55" s="17" t="n">
        <x:v>0.6990167633007726</x:v>
      </x:c>
      <x:c r="N55" s="18" t="n">
        <x:v>0.33959407030185806</x:v>
      </x:c>
      <x:c r="O55" s="27" t="n">
        <x:f>IF(G55=0,P55,IFERROR(N55/G55,""))</x:f>
        <x:v>0.08489851757546452</x:v>
      </x:c>
      <x:c r="P55" s="27" t="n">
        <x:v>0.14622270567685722</x:v>
      </x:c>
      <x:c r="Q55" s="17" t="n">
        <x:v>3.7707357098599994</x:v>
      </x:c>
      <x:c r="R55" s="17" t="n">
        <x:v>3.770735709859997</x:v>
      </x:c>
      <x:c r="S55" s="14" t="str">
        <x:v>feasible_above_1p2</x:v>
      </x:c>
      <x:c r="T55" s="14" t="n">
        <x:v>0.7103644349904722</x:v>
      </x:c>
      <x:c r="U55" s="17" t="n">
        <x:v>1</x:v>
      </x:c>
      <x:c r="V55" s="17" t="n">
        <x:v>130</x:v>
      </x:c>
      <x:c r="W55" s="17" t="n">
        <x:v>101.32500000000002</x:v>
      </x:c>
      <x:c r="X55" s="17" t="n">
        <x:v>338.64300233074147</x:v>
      </x:c>
      <x:c r="Y55" s="17" t="n">
        <x:v>331.53414231839304</x:v>
      </x:c>
      <x:c r="Z55" s="17" t="n">
        <x:v>331.5341423183931</x:v>
      </x:c>
      <x:c r="AA55" s="17" t="n">
        <x:v>231.325</x:v>
      </x:c>
      <x:c r="AB55" s="17" t="n">
        <x:v>231.32500000000005</x:v>
      </x:c>
      <x:c r="AC55" s="14" t="n">
        <x:v>0.9073731933004473</x:v>
      </x:c>
      <x:c r="AD55" s="17" t="n">
        <x:v>12.69655846621321</x:v>
      </x:c>
      <x:c r="AE55" s="19" t="n">
        <x:v>41.49325930487754</x:v>
      </x:c>
      <x:c r="AF55" s="19" t="n">
        <x:v>-9.190680174072028</x:v>
      </x:c>
      <x:c r="AG55" s="17" t="n">
        <x:v>1.5986847067838221</x:v>
      </x:c>
      <x:c r="AH55" s="14" t="n">
        <x:v>0.0000033970590573523645</x:v>
      </x:c>
      <x:c r="AI55" s="14" t="n">
        <x:v>0.00020382354344114186</x:v>
      </x:c>
      <x:c r="AJ55" s="14" t="str">
        <x:v>condensing_or_supersaturated</x:v>
      </x:c>
      <x:c r="AK55" s="14" t="n">
        <x:v>1.0010973475877767</x:v>
      </x:c>
      <x:c r="AL55" s="14" t="n">
        <x:v>0.0017093360181761386</x:v>
      </x:c>
      <x:c r="AM55" s="14" t="str">
        <x:v>condensing_or_supersaturated</x:v>
      </x:c>
      <x:c r="AN55" s="14"/>
      <x:c r="AO55" s="14"/>
      <x:c r="AP55" s="14" t="str">
        <x:v>not_applicable_ideal_connection</x:v>
      </x:c>
      <x:c r="AQ55" s="14" t="str">
        <x:v>deviation_valve_area_saturated</x:v>
      </x:c>
      <x:c r="AR55" s="14" t="str">
        <x:v>not_acceptable_mixer_condensation</x:v>
      </x:c>
      <x:c r="AS55" s="14" t="str"/>
      <x:c r="AT55" s="14" t="n">
        <x:f t="shared" si="4">IFERROR(MAX(0,AG55-1)*100,"")</x:f>
        <x:v>59.86847067838221</x:v>
      </x:c>
      <x:c r="AU55" s="14" t="n">
        <x:f t="shared" si="5">IFERROR(AH55*1000000,"")</x:f>
        <x:v>3.3970590573523647</x:v>
      </x:c>
      <x:c r="AV55" s="14" t="n">
        <x:f t="shared" si="6">IFERROR(AI55*1000000,"")</x:f>
        <x:v>203.82354344114185</x:v>
      </x:c>
      <x:c r="AW55" s="14" t="n">
        <x:f t="shared" si="7">IFERROR((AB55-AA55)*1000,"")</x:f>
        <x:v>5.6843418860808015e-11</x:v>
      </x:c>
      <x:c r="AX55" t="str">
        <x:v>cegr_tracking;valve_area</x:v>
      </x:c>
      <x:c r="AY55" s="57" t="n">
        <x:v>231.325</x:v>
      </x:c>
      <x:c r="AZ55" s="57" t="n">
        <x:v>231.325</x:v>
      </x:c>
      <x:c r="BA55" s="57" t="n">
        <x:v>101.32500000000002</x:v>
      </x:c>
      <x:c r="BB55" s="57" t="n">
        <x:f>IFERROR(AZ55-BA55,"")</x:f>
        <x:v>129.99999999999997</x:v>
      </x:c>
      <x:c r="BC55" s="57" t="n">
        <x:f>IFERROR(AY55-BH55,"")</x:f>
        <x:v>130</x:v>
      </x:c>
      <x:c r="BD55" s="57" t="n">
        <x:f>IFERROR(AB55-W55,"")</x:f>
        <x:v>130.00000000000003</x:v>
      </x:c>
      <x:c r="BE55" s="57" t="n">
        <x:f>IFERROR(AB55-AY55,"")</x:f>
        <x:v>5.684341886080802e-14</x:v>
      </x:c>
      <x:c r="BF55" s="57" t="n">
        <x:f>IFERROR(AY55-AZ55,"")</x:f>
        <x:v>0</x:v>
      </x:c>
      <x:c r="BG55" s="57" t="n">
        <x:f>IFERROR(BA55-W55,"")</x:f>
        <x:v>0</x:v>
      </x:c>
      <x:c r="BH55" s="57" t="n">
        <x:v>101.325</x:v>
      </x:c>
      <x:c r="BI55" s="56" t="str">
        <x:v>RouteA_Focused_External240kW_VSH_PassiveCEGR_fresh_air_fixed_4J_600s_20260820.mat</x:v>
      </x:c>
      <x:c r="BJ55" s="56" t="str">
        <x:v>压力：kPa abs；压差/等式偏差：kPa；流量：kg/s</x:v>
      </x:c>
      <x:c r="BK55" s="56" t="str">
        <x:v>p_stack_out=cathode outlet chamber; p_split=ideal tee; p_EGR_up/down=cEGR valve ports; p_comp_in=compressor inlet mixer; p_ambient=environment reservoir</x:v>
      </x:c>
      <x:c r="BL55" s="56" t="str">
        <x:v>cegr_tracking;valve_area</x:v>
      </x:c>
      <x:c r="BM55" s="56" t="str">
        <x:v>cegr_tracking;valve_area</x:v>
      </x:c>
    </x:row>
    <x:row r="56">
      <x:c r="A56" s="14" t="str">
        <x:v>新鲜空气不变</x:v>
      </x:c>
      <x:c r="B56" s="14" t="str">
        <x:v>external240_fresh_air_fixed_j1p0_R8p000</x:v>
      </x:c>
      <x:c r="C56" s="15" t="b">
        <x:v>1</x:v>
      </x:c>
      <x:c r="D56" s="15" t="b">
        <x:v>0</x:v>
      </x:c>
      <x:c r="E56" s="16" t="n">
        <x:v>1</x:v>
      </x:c>
      <x:c r="F56" s="16" t="n">
        <x:v>1.8</x:v>
      </x:c>
      <x:c r="G56" s="17" t="n">
        <x:v>8</x:v>
      </x:c>
      <x:c r="H56" s="17" t="n">
        <x:v>2.312155542364874</x:v>
      </x:c>
      <x:c r="I56" s="17" t="n">
        <x:v>-5.687844457635126</x:v>
      </x:c>
      <x:c r="J56" s="17" t="n">
        <x:v>0.4</x:v>
      </x:c>
      <x:c r="K56" s="17" t="n">
        <x:v>0.8888888888888888</x:v>
      </x:c>
      <x:c r="L56" s="17" t="n">
        <x:v>0.6980818119169604</x:v>
      </x:c>
      <x:c r="M56" s="17" t="n">
        <x:v>0.699016768231267</x:v>
      </x:c>
      <x:c r="N56" s="18" t="n">
        <x:v>0.3395940721249031</x:v>
      </x:c>
      <x:c r="O56" s="27" t="n">
        <x:f>IF(G56=0,P56,IFERROR(N56/G56,""))</x:f>
        <x:v>0.04244925901561289</x:v>
      </x:c>
      <x:c r="P56" s="27" t="n">
        <x:v>0.14622270303513096</x:v>
      </x:c>
      <x:c r="Q56" s="17" t="n">
        <x:v>3.770735714371887</x:v>
      </x:c>
      <x:c r="R56" s="17" t="n">
        <x:v>3.7707357143718845</x:v>
      </x:c>
      <x:c r="S56" s="14" t="str">
        <x:v>feasible_above_1p2</x:v>
      </x:c>
      <x:c r="T56" s="14" t="n">
        <x:v>0.7103644361069016</x:v>
      </x:c>
      <x:c r="U56" s="17" t="n">
        <x:v>1</x:v>
      </x:c>
      <x:c r="V56" s="17" t="n">
        <x:v>130</x:v>
      </x:c>
      <x:c r="W56" s="17" t="n">
        <x:v>101.32500000000003</x:v>
      </x:c>
      <x:c r="X56" s="17" t="n">
        <x:v>338.64300207568846</x:v>
      </x:c>
      <x:c r="Y56" s="17" t="n">
        <x:v>331.53414201005904</x:v>
      </x:c>
      <x:c r="Z56" s="17" t="n">
        <x:v>331.53414201005904</x:v>
      </x:c>
      <x:c r="AA56" s="17" t="n">
        <x:v>231.325</x:v>
      </x:c>
      <x:c r="AB56" s="17" t="n">
        <x:v>231.32500000000007</x:v>
      </x:c>
      <x:c r="AC56" s="14" t="n">
        <x:v>0.9073736471150856</x:v>
      </x:c>
      <x:c r="AD56" s="17" t="n">
        <x:v>12.69656298491084</x:v>
      </x:c>
      <x:c r="AE56" s="19" t="n">
        <x:v>41.49335930662289</x:v>
      </x:c>
      <x:c r="AF56" s="19" t="n">
        <x:v>-9.190585936455676</x:v>
      </x:c>
      <x:c r="AG56" s="17" t="n">
        <x:v>1.5986767284817722</x:v>
      </x:c>
      <x:c r="AH56" s="14" t="n">
        <x:v>0.00000339703135777718</x:v>
      </x:c>
      <x:c r="AI56" s="14" t="n">
        <x:v>0.00020382188146663078</x:v>
      </x:c>
      <x:c r="AJ56" s="14" t="str">
        <x:v>condensing_or_supersaturated</x:v>
      </x:c>
      <x:c r="AK56" s="14" t="n">
        <x:v>1.0010973470379632</x:v>
      </x:c>
      <x:c r="AL56" s="14" t="n">
        <x:v>0.0017093386473364123</x:v>
      </x:c>
      <x:c r="AM56" s="14" t="str">
        <x:v>condensing_or_supersaturated</x:v>
      </x:c>
      <x:c r="AN56" s="14"/>
      <x:c r="AO56" s="14"/>
      <x:c r="AP56" s="14" t="str">
        <x:v>not_applicable_ideal_connection</x:v>
      </x:c>
      <x:c r="AQ56" s="14" t="str">
        <x:v>deviation_valve_area_saturated</x:v>
      </x:c>
      <x:c r="AR56" s="14" t="str">
        <x:v>not_acceptable_mixer_condensation</x:v>
      </x:c>
      <x:c r="AS56" s="14" t="str"/>
      <x:c r="AT56" s="14" t="n">
        <x:f t="shared" si="4">IFERROR(MAX(0,AG56-1)*100,"")</x:f>
        <x:v>59.86767284817722</x:v>
      </x:c>
      <x:c r="AU56" s="14" t="n">
        <x:f t="shared" si="5">IFERROR(AH56*1000000,"")</x:f>
        <x:v>3.39703135777718</x:v>
      </x:c>
      <x:c r="AV56" s="14" t="n">
        <x:f t="shared" si="6">IFERROR(AI56*1000000,"")</x:f>
        <x:v>203.82188146663077</x:v>
      </x:c>
      <x:c r="AW56" s="14" t="n">
        <x:f t="shared" si="7">IFERROR((AB56-AA56)*1000,"")</x:f>
        <x:v>8.526512829121202e-11</x:v>
      </x:c>
      <x:c r="AX56" t="str">
        <x:v>cegr_tracking;valve_area</x:v>
      </x:c>
      <x:c r="AY56" s="57" t="n">
        <x:v>231.325</x:v>
      </x:c>
      <x:c r="AZ56" s="57" t="n">
        <x:v>231.325</x:v>
      </x:c>
      <x:c r="BA56" s="57" t="n">
        <x:v>101.32500000000003</x:v>
      </x:c>
      <x:c r="BB56" s="57" t="n">
        <x:f>IFERROR(AZ56-BA56,"")</x:f>
        <x:v>129.99999999999994</x:v>
      </x:c>
      <x:c r="BC56" s="57" t="n">
        <x:f>IFERROR(AY56-BH56,"")</x:f>
        <x:v>130</x:v>
      </x:c>
      <x:c r="BD56" s="57" t="n">
        <x:f>IFERROR(AB56-W56,"")</x:f>
        <x:v>130.00000000000006</x:v>
      </x:c>
      <x:c r="BE56" s="57" t="n">
        <x:f>IFERROR(AB56-AY56,"")</x:f>
        <x:v>8.526512829121202e-14</x:v>
      </x:c>
      <x:c r="BF56" s="57" t="n">
        <x:f>IFERROR(AY56-AZ56,"")</x:f>
        <x:v>0</x:v>
      </x:c>
      <x:c r="BG56" s="57" t="n">
        <x:f>IFERROR(BA56-W56,"")</x:f>
        <x:v>0</x:v>
      </x:c>
      <x:c r="BH56" s="57" t="n">
        <x:v>101.325</x:v>
      </x:c>
      <x:c r="BI56" s="56" t="str">
        <x:v>RouteA_Focused_External240kW_VSH_PassiveCEGR_fresh_air_fixed_4J_600s_20260820.mat</x:v>
      </x:c>
      <x:c r="BJ56" s="56" t="str">
        <x:v>压力：kPa abs；压差/等式偏差：kPa；流量：kg/s</x:v>
      </x:c>
      <x:c r="BK56" s="56" t="str">
        <x:v>p_stack_out=cathode outlet chamber; p_split=ideal tee; p_EGR_up/down=cEGR valve ports; p_comp_in=compressor inlet mixer; p_ambient=environment reservoir</x:v>
      </x:c>
      <x:c r="BL56" s="56" t="str">
        <x:v>cegr_tracking;valve_area</x:v>
      </x:c>
      <x:c r="BM56" s="56" t="str">
        <x:v>cegr_tracking;valve_area</x:v>
      </x:c>
    </x:row>
  </x:sheetData>
  <x:pageMargins left="0.7" right="0.7" top="0.75" bottom="0.75" header="0.3" footer="0.3"/>
</x:worksheet>
</file>